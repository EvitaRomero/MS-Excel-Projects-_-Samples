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T\Desktop\MIS [Evi]\P6\"/>
    </mc:Choice>
  </mc:AlternateContent>
  <xr:revisionPtr revIDLastSave="0" documentId="13_ncr:1_{B30A7934-23FB-4423-ACCD-AFA49103138B}" xr6:coauthVersionLast="47" xr6:coauthVersionMax="47" xr10:uidLastSave="{00000000-0000-0000-0000-000000000000}"/>
  <bookViews>
    <workbookView xWindow="-120" yWindow="-120" windowWidth="29040" windowHeight="17520" tabRatio="637" xr2:uid="{C2BA7643-FF58-4AEE-9E1E-2F535E65F961}"/>
  </bookViews>
  <sheets>
    <sheet name="Summary" sheetId="9" r:id="rId1"/>
    <sheet name="MDC" sheetId="1" r:id="rId2"/>
    <sheet name="WATSON" sheetId="2" r:id="rId3"/>
    <sheet name="RPI" sheetId="3" r:id="rId4"/>
    <sheet name="SSD" sheetId="4" r:id="rId5"/>
    <sheet name="ZPC -Other Trade" sheetId="5" r:id="rId6"/>
    <sheet name="PMI" sheetId="7" r:id="rId7"/>
    <sheet name="INHOUSE" sheetId="8" r:id="rId8"/>
  </sheets>
  <definedNames>
    <definedName name="_xlnm._FilterDatabase" localSheetId="0" hidden="1">Summary!$A$33:$AL$59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7" l="1"/>
  <c r="AC47" i="7" s="1"/>
  <c r="AB46" i="7"/>
  <c r="AA46" i="7"/>
  <c r="AC46" i="7" s="1"/>
  <c r="AC45" i="7"/>
  <c r="AA45" i="7"/>
  <c r="AB45" i="7" s="1"/>
  <c r="AA44" i="7"/>
  <c r="AC44" i="7" s="1"/>
  <c r="AA43" i="7"/>
  <c r="AB43" i="7" s="1"/>
  <c r="AA42" i="7"/>
  <c r="AC42" i="7" s="1"/>
  <c r="AA41" i="7"/>
  <c r="AB41" i="7" s="1"/>
  <c r="AA40" i="7"/>
  <c r="AC40" i="7" s="1"/>
  <c r="AA39" i="7"/>
  <c r="AC39" i="7" s="1"/>
  <c r="AA38" i="7"/>
  <c r="AC38" i="7" s="1"/>
  <c r="AA37" i="7"/>
  <c r="AB37" i="7" s="1"/>
  <c r="AA36" i="7"/>
  <c r="AC36" i="7" s="1"/>
  <c r="AA35" i="7"/>
  <c r="AB35" i="7" s="1"/>
  <c r="AA34" i="7"/>
  <c r="AC34" i="7" s="1"/>
  <c r="AA33" i="7"/>
  <c r="AB33" i="7" s="1"/>
  <c r="AA32" i="7"/>
  <c r="AC32" i="7" s="1"/>
  <c r="AA31" i="7"/>
  <c r="AC31" i="7" s="1"/>
  <c r="AA30" i="7"/>
  <c r="AC30" i="7" s="1"/>
  <c r="AA29" i="7"/>
  <c r="AB29" i="7" s="1"/>
  <c r="AA5" i="7"/>
  <c r="AB5" i="7" s="1"/>
  <c r="AA6" i="7"/>
  <c r="AB6" i="7" s="1"/>
  <c r="AA7" i="7"/>
  <c r="AB7" i="7" s="1"/>
  <c r="AA8" i="7"/>
  <c r="AB8" i="7" s="1"/>
  <c r="AA9" i="7"/>
  <c r="AB9" i="7" s="1"/>
  <c r="AC9" i="7"/>
  <c r="AA10" i="7"/>
  <c r="AB10" i="7" s="1"/>
  <c r="AA11" i="7"/>
  <c r="AB11" i="7" s="1"/>
  <c r="AA12" i="7"/>
  <c r="AB12" i="7" s="1"/>
  <c r="AC12" i="7"/>
  <c r="AA13" i="7"/>
  <c r="AB13" i="7" s="1"/>
  <c r="AA14" i="7"/>
  <c r="AB14" i="7" s="1"/>
  <c r="AA15" i="7"/>
  <c r="AC15" i="7" s="1"/>
  <c r="AB15" i="7"/>
  <c r="AA16" i="7"/>
  <c r="AB16" i="7" s="1"/>
  <c r="AA17" i="7"/>
  <c r="AC17" i="7" s="1"/>
  <c r="AA18" i="7"/>
  <c r="AB18" i="7" s="1"/>
  <c r="AA19" i="7"/>
  <c r="AB19" i="7" s="1"/>
  <c r="AA20" i="7"/>
  <c r="AB20" i="7" s="1"/>
  <c r="AC20" i="7"/>
  <c r="AA21" i="7"/>
  <c r="AB21" i="7" s="1"/>
  <c r="AA22" i="7"/>
  <c r="AB22" i="7" s="1"/>
  <c r="AC4" i="7"/>
  <c r="AB4" i="7"/>
  <c r="AA4" i="7"/>
  <c r="Z48" i="7"/>
  <c r="Z23" i="7"/>
  <c r="AA50" i="5"/>
  <c r="AC50" i="5" s="1"/>
  <c r="AB49" i="5"/>
  <c r="AA49" i="5"/>
  <c r="AC49" i="5" s="1"/>
  <c r="AA48" i="5"/>
  <c r="AC48" i="5" s="1"/>
  <c r="AB47" i="5"/>
  <c r="AA47" i="5"/>
  <c r="AC47" i="5" s="1"/>
  <c r="AA46" i="5"/>
  <c r="AB46" i="5" s="1"/>
  <c r="AA45" i="5"/>
  <c r="AC45" i="5" s="1"/>
  <c r="AA44" i="5"/>
  <c r="AC44" i="5" s="1"/>
  <c r="AA43" i="5"/>
  <c r="AC43" i="5" s="1"/>
  <c r="AA42" i="5"/>
  <c r="AC42" i="5" s="1"/>
  <c r="AA41" i="5"/>
  <c r="AC41" i="5" s="1"/>
  <c r="AA40" i="5"/>
  <c r="AC40" i="5" s="1"/>
  <c r="AA39" i="5"/>
  <c r="AC39" i="5" s="1"/>
  <c r="AA38" i="5"/>
  <c r="AB38" i="5" s="1"/>
  <c r="AA37" i="5"/>
  <c r="AB37" i="5" s="1"/>
  <c r="AA36" i="5"/>
  <c r="AC36" i="5" s="1"/>
  <c r="AA35" i="5"/>
  <c r="AC35" i="5" s="1"/>
  <c r="AA34" i="5"/>
  <c r="AC34" i="5" s="1"/>
  <c r="AA33" i="5"/>
  <c r="AC33" i="5" s="1"/>
  <c r="AC32" i="5"/>
  <c r="AA32" i="5"/>
  <c r="AB32" i="5" s="1"/>
  <c r="AB31" i="5"/>
  <c r="AA31" i="5"/>
  <c r="AC31" i="5" s="1"/>
  <c r="AA30" i="5"/>
  <c r="AB30" i="5" s="1"/>
  <c r="AA24" i="5"/>
  <c r="AC24" i="5" s="1"/>
  <c r="AC23" i="5"/>
  <c r="AB23" i="5"/>
  <c r="AA23" i="5"/>
  <c r="AA22" i="5"/>
  <c r="AC22" i="5" s="1"/>
  <c r="AB21" i="5"/>
  <c r="AA21" i="5"/>
  <c r="AC21" i="5" s="1"/>
  <c r="AA20" i="5"/>
  <c r="AB20" i="5" s="1"/>
  <c r="AA19" i="5"/>
  <c r="AC19" i="5" s="1"/>
  <c r="AA18" i="5"/>
  <c r="AC18" i="5" s="1"/>
  <c r="AC17" i="5"/>
  <c r="AA17" i="5"/>
  <c r="AB17" i="5" s="1"/>
  <c r="AA16" i="5"/>
  <c r="AC16" i="5" s="1"/>
  <c r="AA15" i="5"/>
  <c r="AB15" i="5" s="1"/>
  <c r="AB14" i="5"/>
  <c r="AA14" i="5"/>
  <c r="AC14" i="5" s="1"/>
  <c r="AB13" i="5"/>
  <c r="AA13" i="5"/>
  <c r="AC13" i="5" s="1"/>
  <c r="AA12" i="5"/>
  <c r="AB12" i="5" s="1"/>
  <c r="AA11" i="5"/>
  <c r="AC11" i="5" s="1"/>
  <c r="AA10" i="5"/>
  <c r="AC10" i="5" s="1"/>
  <c r="AA9" i="5"/>
  <c r="AB9" i="5" s="1"/>
  <c r="AA8" i="5"/>
  <c r="AC8" i="5" s="1"/>
  <c r="AA7" i="5"/>
  <c r="AC7" i="5" s="1"/>
  <c r="AA6" i="5"/>
  <c r="AC6" i="5" s="1"/>
  <c r="AB5" i="5"/>
  <c r="AA5" i="5"/>
  <c r="AC5" i="5" s="1"/>
  <c r="AA4" i="5"/>
  <c r="AC4" i="5" s="1"/>
  <c r="Z25" i="5"/>
  <c r="AA25" i="5" s="1"/>
  <c r="AC25" i="5" s="1"/>
  <c r="Z51" i="5"/>
  <c r="Z43" i="4"/>
  <c r="Z21" i="4"/>
  <c r="AA43" i="4"/>
  <c r="AB43" i="4" s="1"/>
  <c r="AA42" i="4"/>
  <c r="AC42" i="4" s="1"/>
  <c r="AA41" i="4"/>
  <c r="AC41" i="4" s="1"/>
  <c r="AA40" i="4"/>
  <c r="AB40" i="4" s="1"/>
  <c r="AA39" i="4"/>
  <c r="AC39" i="4" s="1"/>
  <c r="AA38" i="4"/>
  <c r="AB38" i="4" s="1"/>
  <c r="AA37" i="4"/>
  <c r="AB37" i="4" s="1"/>
  <c r="AA36" i="4"/>
  <c r="AC36" i="4" s="1"/>
  <c r="AA35" i="4"/>
  <c r="AC35" i="4" s="1"/>
  <c r="AA34" i="4"/>
  <c r="AC34" i="4" s="1"/>
  <c r="AA33" i="4"/>
  <c r="AC33" i="4" s="1"/>
  <c r="AA32" i="4"/>
  <c r="AB32" i="4" s="1"/>
  <c r="AA31" i="4"/>
  <c r="AC31" i="4" s="1"/>
  <c r="AA30" i="4"/>
  <c r="AB30" i="4" s="1"/>
  <c r="AA29" i="4"/>
  <c r="AB29" i="4" s="1"/>
  <c r="AA28" i="4"/>
  <c r="AC28" i="4" s="1"/>
  <c r="AA27" i="4"/>
  <c r="AC27" i="4" s="1"/>
  <c r="AA26" i="4"/>
  <c r="AC26" i="4" s="1"/>
  <c r="AA20" i="4"/>
  <c r="AB20" i="4" s="1"/>
  <c r="AA19" i="4"/>
  <c r="AC19" i="4" s="1"/>
  <c r="AA18" i="4"/>
  <c r="AC18" i="4" s="1"/>
  <c r="AA17" i="4"/>
  <c r="AC17" i="4" s="1"/>
  <c r="AA16" i="4"/>
  <c r="AC16" i="4" s="1"/>
  <c r="AA15" i="4"/>
  <c r="AC15" i="4" s="1"/>
  <c r="AA14" i="4"/>
  <c r="AB14" i="4" s="1"/>
  <c r="AA13" i="4"/>
  <c r="AB13" i="4" s="1"/>
  <c r="AA12" i="4"/>
  <c r="AC12" i="4" s="1"/>
  <c r="AA11" i="4"/>
  <c r="AC11" i="4" s="1"/>
  <c r="AA10" i="4"/>
  <c r="AC10" i="4" s="1"/>
  <c r="AC9" i="4"/>
  <c r="AB9" i="4"/>
  <c r="AA9" i="4"/>
  <c r="AA8" i="4"/>
  <c r="AC8" i="4" s="1"/>
  <c r="AA7" i="4"/>
  <c r="AC7" i="4" s="1"/>
  <c r="AA6" i="4"/>
  <c r="AB6" i="4" s="1"/>
  <c r="AA5" i="4"/>
  <c r="AB5" i="4" s="1"/>
  <c r="AA4" i="4"/>
  <c r="AC4" i="4" s="1"/>
  <c r="Z45" i="3"/>
  <c r="AA45" i="3" s="1"/>
  <c r="AC45" i="3" s="1"/>
  <c r="AA44" i="3"/>
  <c r="AC44" i="3" s="1"/>
  <c r="AC43" i="3"/>
  <c r="AB43" i="3"/>
  <c r="AA43" i="3"/>
  <c r="AA42" i="3"/>
  <c r="AC42" i="3" s="1"/>
  <c r="AB41" i="3"/>
  <c r="AA41" i="3"/>
  <c r="AC41" i="3" s="1"/>
  <c r="AA40" i="3"/>
  <c r="AC40" i="3" s="1"/>
  <c r="AA39" i="3"/>
  <c r="AC39" i="3" s="1"/>
  <c r="AA38" i="3"/>
  <c r="AC38" i="3" s="1"/>
  <c r="AA37" i="3"/>
  <c r="AC37" i="3" s="1"/>
  <c r="AA36" i="3"/>
  <c r="AC36" i="3" s="1"/>
  <c r="AA35" i="3"/>
  <c r="AC35" i="3" s="1"/>
  <c r="AA34" i="3"/>
  <c r="AC34" i="3" s="1"/>
  <c r="AA33" i="3"/>
  <c r="AC33" i="3" s="1"/>
  <c r="AA32" i="3"/>
  <c r="AC32" i="3" s="1"/>
  <c r="AA31" i="3"/>
  <c r="AC31" i="3" s="1"/>
  <c r="AA30" i="3"/>
  <c r="AC30" i="3" s="1"/>
  <c r="AA29" i="3"/>
  <c r="AB29" i="3" s="1"/>
  <c r="AA28" i="3"/>
  <c r="AC28" i="3" s="1"/>
  <c r="AA27" i="3"/>
  <c r="AC27" i="3" s="1"/>
  <c r="AA5" i="3"/>
  <c r="AB5" i="3" s="1"/>
  <c r="AA6" i="3"/>
  <c r="AB6" i="3" s="1"/>
  <c r="AA7" i="3"/>
  <c r="AC7" i="3" s="1"/>
  <c r="AB7" i="3"/>
  <c r="AA8" i="3"/>
  <c r="AC8" i="3" s="1"/>
  <c r="AA9" i="3"/>
  <c r="AB9" i="3"/>
  <c r="AC9" i="3"/>
  <c r="AA10" i="3"/>
  <c r="AB10" i="3" s="1"/>
  <c r="AA11" i="3"/>
  <c r="AB11" i="3" s="1"/>
  <c r="AA12" i="3"/>
  <c r="AB12" i="3" s="1"/>
  <c r="AA13" i="3"/>
  <c r="AB13" i="3" s="1"/>
  <c r="AA14" i="3"/>
  <c r="AB14" i="3" s="1"/>
  <c r="AC14" i="3"/>
  <c r="AA15" i="3"/>
  <c r="AC15" i="3" s="1"/>
  <c r="AA16" i="3"/>
  <c r="AC16" i="3" s="1"/>
  <c r="AB16" i="3"/>
  <c r="AA17" i="3"/>
  <c r="AB17" i="3"/>
  <c r="AC17" i="3"/>
  <c r="AA18" i="3"/>
  <c r="AB18" i="3" s="1"/>
  <c r="AA19" i="3"/>
  <c r="AB19" i="3" s="1"/>
  <c r="AA20" i="3"/>
  <c r="AB20" i="3"/>
  <c r="AC20" i="3"/>
  <c r="AA21" i="3"/>
  <c r="AB21" i="3"/>
  <c r="AC21" i="3"/>
  <c r="AA22" i="3"/>
  <c r="AB22" i="3" s="1"/>
  <c r="AA4" i="3"/>
  <c r="AC4" i="3" s="1"/>
  <c r="Z22" i="3"/>
  <c r="AA46" i="2"/>
  <c r="AC46" i="2" s="1"/>
  <c r="AA45" i="2"/>
  <c r="AB45" i="2" s="1"/>
  <c r="AA44" i="2"/>
  <c r="AB44" i="2" s="1"/>
  <c r="AA43" i="2"/>
  <c r="AC43" i="2" s="1"/>
  <c r="AA42" i="2"/>
  <c r="AB42" i="2" s="1"/>
  <c r="AA41" i="2"/>
  <c r="AC41" i="2" s="1"/>
  <c r="AA40" i="2"/>
  <c r="AB40" i="2" s="1"/>
  <c r="AA39" i="2"/>
  <c r="AB39" i="2" s="1"/>
  <c r="AA38" i="2"/>
  <c r="AB38" i="2" s="1"/>
  <c r="AA37" i="2"/>
  <c r="AC37" i="2" s="1"/>
  <c r="AA36" i="2"/>
  <c r="AC36" i="2" s="1"/>
  <c r="AA35" i="2"/>
  <c r="AC35" i="2" s="1"/>
  <c r="AA34" i="2"/>
  <c r="AC34" i="2" s="1"/>
  <c r="AC33" i="2"/>
  <c r="AA33" i="2"/>
  <c r="AB33" i="2" s="1"/>
  <c r="AA32" i="2"/>
  <c r="AC32" i="2" s="1"/>
  <c r="AA31" i="2"/>
  <c r="AC31" i="2" s="1"/>
  <c r="AA30" i="2"/>
  <c r="AB30" i="2" s="1"/>
  <c r="AA29" i="2"/>
  <c r="AC29" i="2" s="1"/>
  <c r="AC28" i="2"/>
  <c r="AB28" i="2"/>
  <c r="AA28" i="2"/>
  <c r="AA4" i="2"/>
  <c r="AC4" i="2" s="1"/>
  <c r="AA5" i="2"/>
  <c r="AB5" i="2" s="1"/>
  <c r="AA6" i="2"/>
  <c r="AB6" i="2" s="1"/>
  <c r="AA7" i="2"/>
  <c r="AB7" i="2" s="1"/>
  <c r="AC7" i="2"/>
  <c r="AA8" i="2"/>
  <c r="AC8" i="2" s="1"/>
  <c r="AA9" i="2"/>
  <c r="AB9" i="2" s="1"/>
  <c r="AA10" i="2"/>
  <c r="AC10" i="2" s="1"/>
  <c r="AA11" i="2"/>
  <c r="AB11" i="2" s="1"/>
  <c r="AA12" i="2"/>
  <c r="AB12" i="2" s="1"/>
  <c r="AA13" i="2"/>
  <c r="AB13" i="2" s="1"/>
  <c r="AA14" i="2"/>
  <c r="AB14" i="2" s="1"/>
  <c r="AA15" i="2"/>
  <c r="AC15" i="2" s="1"/>
  <c r="AB15" i="2"/>
  <c r="AA16" i="2"/>
  <c r="AC16" i="2" s="1"/>
  <c r="AA17" i="2"/>
  <c r="AB17" i="2" s="1"/>
  <c r="AA18" i="2"/>
  <c r="AC18" i="2" s="1"/>
  <c r="AA19" i="2"/>
  <c r="AB19" i="2" s="1"/>
  <c r="AA20" i="2"/>
  <c r="AB20" i="2" s="1"/>
  <c r="AA21" i="2"/>
  <c r="AB21" i="2" s="1"/>
  <c r="AC21" i="2"/>
  <c r="AA22" i="2"/>
  <c r="AB22" i="2" s="1"/>
  <c r="Z47" i="2"/>
  <c r="AA47" i="2" s="1"/>
  <c r="AC47" i="2" s="1"/>
  <c r="Z23" i="2"/>
  <c r="AA23" i="2" s="1"/>
  <c r="AB23" i="2" s="1"/>
  <c r="AC52" i="1"/>
  <c r="AC51" i="1"/>
  <c r="AC50" i="1"/>
  <c r="AD4" i="1"/>
  <c r="AA31" i="1"/>
  <c r="AC31" i="1" s="1"/>
  <c r="AA52" i="1"/>
  <c r="AA51" i="1"/>
  <c r="AA50" i="1"/>
  <c r="AA49" i="1"/>
  <c r="AC49" i="1" s="1"/>
  <c r="AA48" i="1"/>
  <c r="AC48" i="1" s="1"/>
  <c r="AA47" i="1"/>
  <c r="AC47" i="1" s="1"/>
  <c r="AA46" i="1"/>
  <c r="AC46" i="1" s="1"/>
  <c r="AA45" i="1"/>
  <c r="AC45" i="1" s="1"/>
  <c r="AA44" i="1"/>
  <c r="AC44" i="1" s="1"/>
  <c r="AA43" i="1"/>
  <c r="AC43" i="1" s="1"/>
  <c r="AA42" i="1"/>
  <c r="AC42" i="1" s="1"/>
  <c r="AA41" i="1"/>
  <c r="AC41" i="1" s="1"/>
  <c r="AA40" i="1"/>
  <c r="AC40" i="1" s="1"/>
  <c r="AA39" i="1"/>
  <c r="AC39" i="1" s="1"/>
  <c r="AA38" i="1"/>
  <c r="AC38" i="1" s="1"/>
  <c r="AA37" i="1"/>
  <c r="AC37" i="1" s="1"/>
  <c r="AA36" i="1"/>
  <c r="AC36" i="1" s="1"/>
  <c r="AA35" i="1"/>
  <c r="AC35" i="1" s="1"/>
  <c r="AA34" i="1"/>
  <c r="AC34" i="1" s="1"/>
  <c r="AA33" i="1"/>
  <c r="AC33" i="1" s="1"/>
  <c r="AA32" i="1"/>
  <c r="AC32" i="1" s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E4" i="1"/>
  <c r="AA4" i="1"/>
  <c r="AC4" i="1" s="1"/>
  <c r="Z53" i="1"/>
  <c r="AA53" i="1" s="1"/>
  <c r="AC53" i="1" s="1"/>
  <c r="Z26" i="1"/>
  <c r="AA26" i="1" s="1"/>
  <c r="Z59" i="9"/>
  <c r="AA59" i="9" s="1"/>
  <c r="AC59" i="9" s="1"/>
  <c r="Z29" i="9"/>
  <c r="AA29" i="9" s="1"/>
  <c r="AA58" i="9"/>
  <c r="AB58" i="9" s="1"/>
  <c r="AA57" i="9"/>
  <c r="AC57" i="9" s="1"/>
  <c r="AA56" i="9"/>
  <c r="AC56" i="9" s="1"/>
  <c r="AA55" i="9"/>
  <c r="AC55" i="9" s="1"/>
  <c r="AA54" i="9"/>
  <c r="AC54" i="9" s="1"/>
  <c r="AA53" i="9"/>
  <c r="AC53" i="9" s="1"/>
  <c r="AA52" i="9"/>
  <c r="AB52" i="9" s="1"/>
  <c r="AA51" i="9"/>
  <c r="AB51" i="9" s="1"/>
  <c r="AA50" i="9"/>
  <c r="AC50" i="9" s="1"/>
  <c r="AA49" i="9"/>
  <c r="AB49" i="9" s="1"/>
  <c r="AA48" i="9"/>
  <c r="AC48" i="9" s="1"/>
  <c r="AA47" i="9"/>
  <c r="AC47" i="9" s="1"/>
  <c r="AA46" i="9"/>
  <c r="AB46" i="9" s="1"/>
  <c r="AA45" i="9"/>
  <c r="AC45" i="9" s="1"/>
  <c r="AA44" i="9"/>
  <c r="AB44" i="9" s="1"/>
  <c r="AA43" i="9"/>
  <c r="AB43" i="9" s="1"/>
  <c r="AA42" i="9"/>
  <c r="AB42" i="9" s="1"/>
  <c r="AA41" i="9"/>
  <c r="AB41" i="9" s="1"/>
  <c r="AA40" i="9"/>
  <c r="AC40" i="9" s="1"/>
  <c r="AA39" i="9"/>
  <c r="AC39" i="9" s="1"/>
  <c r="AA38" i="9"/>
  <c r="AB38" i="9" s="1"/>
  <c r="AA37" i="9"/>
  <c r="AC37" i="9" s="1"/>
  <c r="AA36" i="9"/>
  <c r="AC36" i="9" s="1"/>
  <c r="AA35" i="9"/>
  <c r="AB35" i="9" s="1"/>
  <c r="AA34" i="9"/>
  <c r="AB34" i="9" s="1"/>
  <c r="AA5" i="9"/>
  <c r="AB5" i="9" s="1"/>
  <c r="AA6" i="9"/>
  <c r="AC6" i="9" s="1"/>
  <c r="AA7" i="9"/>
  <c r="AB7" i="9" s="1"/>
  <c r="AA8" i="9"/>
  <c r="AC8" i="9" s="1"/>
  <c r="AA9" i="9"/>
  <c r="AB9" i="9" s="1"/>
  <c r="AA10" i="9"/>
  <c r="AB10" i="9" s="1"/>
  <c r="AA11" i="9"/>
  <c r="AB11" i="9" s="1"/>
  <c r="AA12" i="9"/>
  <c r="AB12" i="9" s="1"/>
  <c r="AA13" i="9"/>
  <c r="AB13" i="9" s="1"/>
  <c r="AA14" i="9"/>
  <c r="AC14" i="9" s="1"/>
  <c r="AA15" i="9"/>
  <c r="AC15" i="9" s="1"/>
  <c r="AA16" i="9"/>
  <c r="AC16" i="9" s="1"/>
  <c r="AA17" i="9"/>
  <c r="AB17" i="9" s="1"/>
  <c r="AA18" i="9"/>
  <c r="AB18" i="9" s="1"/>
  <c r="AA19" i="9"/>
  <c r="AB19" i="9" s="1"/>
  <c r="AA20" i="9"/>
  <c r="AB20" i="9" s="1"/>
  <c r="AA21" i="9"/>
  <c r="AB21" i="9" s="1"/>
  <c r="AA22" i="9"/>
  <c r="AC22" i="9" s="1"/>
  <c r="AB22" i="9"/>
  <c r="AA23" i="9"/>
  <c r="AC23" i="9" s="1"/>
  <c r="AA24" i="9"/>
  <c r="AC24" i="9" s="1"/>
  <c r="AA25" i="9"/>
  <c r="AB25" i="9" s="1"/>
  <c r="AA26" i="9"/>
  <c r="AB26" i="9" s="1"/>
  <c r="AA27" i="9"/>
  <c r="AB27" i="9" s="1"/>
  <c r="AA28" i="9"/>
  <c r="AB28" i="9" s="1"/>
  <c r="AD29" i="9"/>
  <c r="AA4" i="9"/>
  <c r="AC4" i="9" s="1"/>
  <c r="Y23" i="7"/>
  <c r="AC42" i="9" l="1"/>
  <c r="AC41" i="9"/>
  <c r="AB23" i="9"/>
  <c r="AC28" i="9"/>
  <c r="AD28" i="9" s="1"/>
  <c r="AB24" i="9"/>
  <c r="AD24" i="9" s="1"/>
  <c r="AB15" i="9"/>
  <c r="AE15" i="9" s="1"/>
  <c r="AC37" i="7"/>
  <c r="AC43" i="7"/>
  <c r="AC33" i="7"/>
  <c r="AC29" i="7"/>
  <c r="AC35" i="7"/>
  <c r="AC41" i="7"/>
  <c r="AC23" i="7"/>
  <c r="AA23" i="7"/>
  <c r="AB23" i="7" s="1"/>
  <c r="AB48" i="5"/>
  <c r="AB40" i="5"/>
  <c r="AB33" i="5"/>
  <c r="AB41" i="5"/>
  <c r="AC37" i="5"/>
  <c r="AC12" i="5"/>
  <c r="AC20" i="5"/>
  <c r="AC15" i="5"/>
  <c r="AB7" i="5"/>
  <c r="AC43" i="4"/>
  <c r="AC38" i="4"/>
  <c r="AC30" i="4"/>
  <c r="AB8" i="4"/>
  <c r="AC5" i="4"/>
  <c r="AC14" i="4"/>
  <c r="AC13" i="3"/>
  <c r="AC22" i="3"/>
  <c r="AB15" i="3"/>
  <c r="AC38" i="2"/>
  <c r="AC13" i="2"/>
  <c r="AC5" i="2"/>
  <c r="AB16" i="2"/>
  <c r="AC20" i="2"/>
  <c r="AC49" i="9"/>
  <c r="AC43" i="9"/>
  <c r="AC51" i="9"/>
  <c r="AC35" i="9"/>
  <c r="AC20" i="9"/>
  <c r="AD20" i="9" s="1"/>
  <c r="AB14" i="9"/>
  <c r="AD14" i="9" s="1"/>
  <c r="AC18" i="9"/>
  <c r="AE18" i="9" s="1"/>
  <c r="AC26" i="9"/>
  <c r="AC46" i="9"/>
  <c r="AC38" i="9"/>
  <c r="AC34" i="9"/>
  <c r="AC13" i="9"/>
  <c r="AD18" i="9"/>
  <c r="AC12" i="9"/>
  <c r="AC44" i="2"/>
  <c r="AC30" i="2"/>
  <c r="AB36" i="2"/>
  <c r="AB41" i="2"/>
  <c r="AB18" i="2"/>
  <c r="AB10" i="2"/>
  <c r="AB8" i="2"/>
  <c r="AC12" i="2"/>
  <c r="AC23" i="2"/>
  <c r="AB32" i="3"/>
  <c r="AC12" i="3"/>
  <c r="AB8" i="3"/>
  <c r="AC6" i="3"/>
  <c r="AB39" i="5"/>
  <c r="AB45" i="5"/>
  <c r="AC9" i="5"/>
  <c r="AB6" i="5"/>
  <c r="AB30" i="7"/>
  <c r="AB38" i="7"/>
  <c r="AA48" i="7"/>
  <c r="AB48" i="7" s="1"/>
  <c r="AB32" i="7"/>
  <c r="AB36" i="7"/>
  <c r="AB40" i="7"/>
  <c r="AB44" i="7"/>
  <c r="AB17" i="7"/>
  <c r="AC8" i="7"/>
  <c r="AC16" i="7"/>
  <c r="AC19" i="7"/>
  <c r="AC11" i="7"/>
  <c r="AC7" i="7"/>
  <c r="AB31" i="7"/>
  <c r="AB39" i="7"/>
  <c r="AB47" i="7"/>
  <c r="AB34" i="7"/>
  <c r="AB42" i="7"/>
  <c r="AC22" i="7"/>
  <c r="AC14" i="7"/>
  <c r="AC6" i="7"/>
  <c r="AC21" i="7"/>
  <c r="AC13" i="7"/>
  <c r="AC5" i="7"/>
  <c r="AC18" i="7"/>
  <c r="AC10" i="7"/>
  <c r="AB35" i="5"/>
  <c r="AC38" i="5"/>
  <c r="AC46" i="5"/>
  <c r="AB36" i="5"/>
  <c r="AB44" i="5"/>
  <c r="AC30" i="5"/>
  <c r="AB34" i="5"/>
  <c r="AB42" i="5"/>
  <c r="AB50" i="5"/>
  <c r="AB43" i="5"/>
  <c r="AB10" i="5"/>
  <c r="AB18" i="5"/>
  <c r="AB8" i="5"/>
  <c r="AB16" i="5"/>
  <c r="AB24" i="5"/>
  <c r="AB11" i="5"/>
  <c r="AB19" i="5"/>
  <c r="AB22" i="5"/>
  <c r="AB25" i="5"/>
  <c r="AB4" i="5"/>
  <c r="AC29" i="4"/>
  <c r="AB33" i="4"/>
  <c r="AC37" i="4"/>
  <c r="AB41" i="4"/>
  <c r="AC40" i="4"/>
  <c r="AC32" i="4"/>
  <c r="AB27" i="4"/>
  <c r="AB35" i="4"/>
  <c r="AB31" i="4"/>
  <c r="AB39" i="4"/>
  <c r="AA21" i="4"/>
  <c r="AB21" i="4" s="1"/>
  <c r="AB16" i="4"/>
  <c r="AC13" i="4"/>
  <c r="AB17" i="4"/>
  <c r="AC6" i="4"/>
  <c r="AB28" i="4"/>
  <c r="AB36" i="4"/>
  <c r="AB26" i="4"/>
  <c r="AB34" i="4"/>
  <c r="AB42" i="4"/>
  <c r="AB11" i="4"/>
  <c r="AB19" i="4"/>
  <c r="AB12" i="4"/>
  <c r="AB7" i="4"/>
  <c r="AB15" i="4"/>
  <c r="AC20" i="4"/>
  <c r="AB10" i="4"/>
  <c r="AB18" i="4"/>
  <c r="AB4" i="4"/>
  <c r="AB30" i="3"/>
  <c r="AB39" i="3"/>
  <c r="AB27" i="3"/>
  <c r="AB31" i="3"/>
  <c r="AB35" i="3"/>
  <c r="AB40" i="3"/>
  <c r="AC29" i="3"/>
  <c r="AB38" i="3"/>
  <c r="AB33" i="3"/>
  <c r="AB28" i="3"/>
  <c r="AB36" i="3"/>
  <c r="AB44" i="3"/>
  <c r="AB34" i="3"/>
  <c r="AB42" i="3"/>
  <c r="AB37" i="3"/>
  <c r="AB45" i="3"/>
  <c r="AC19" i="3"/>
  <c r="AC11" i="3"/>
  <c r="AC5" i="3"/>
  <c r="AC18" i="3"/>
  <c r="AC10" i="3"/>
  <c r="AB4" i="3"/>
  <c r="AB31" i="2"/>
  <c r="AB34" i="2"/>
  <c r="AC39" i="2"/>
  <c r="AB37" i="2"/>
  <c r="AC42" i="2"/>
  <c r="AB32" i="2"/>
  <c r="AC45" i="2"/>
  <c r="AB35" i="2"/>
  <c r="AC40" i="2"/>
  <c r="AB43" i="2"/>
  <c r="AB46" i="2"/>
  <c r="AB29" i="2"/>
  <c r="AB47" i="2"/>
  <c r="AC17" i="2"/>
  <c r="AC9" i="2"/>
  <c r="AC22" i="2"/>
  <c r="AC14" i="2"/>
  <c r="AC6" i="2"/>
  <c r="AC19" i="2"/>
  <c r="AC11" i="2"/>
  <c r="AB4" i="2"/>
  <c r="AB57" i="9"/>
  <c r="AC58" i="9"/>
  <c r="AB53" i="9"/>
  <c r="AB37" i="9"/>
  <c r="AB45" i="9"/>
  <c r="AB50" i="9"/>
  <c r="AB54" i="9"/>
  <c r="AC29" i="9"/>
  <c r="AE29" i="9"/>
  <c r="AC5" i="9"/>
  <c r="AB8" i="9"/>
  <c r="AC7" i="9"/>
  <c r="AC21" i="9"/>
  <c r="AD21" i="9" s="1"/>
  <c r="AC10" i="9"/>
  <c r="AD10" i="9" s="1"/>
  <c r="AB6" i="9"/>
  <c r="AE6" i="9" s="1"/>
  <c r="AB16" i="9"/>
  <c r="AB36" i="9"/>
  <c r="AB39" i="9"/>
  <c r="AC44" i="9"/>
  <c r="AB47" i="9"/>
  <c r="AC52" i="9"/>
  <c r="AB55" i="9"/>
  <c r="AB40" i="9"/>
  <c r="AB48" i="9"/>
  <c r="AB56" i="9"/>
  <c r="AB59" i="9"/>
  <c r="AB29" i="9"/>
  <c r="AC25" i="9"/>
  <c r="AC17" i="9"/>
  <c r="AD17" i="9" s="1"/>
  <c r="AC9" i="9"/>
  <c r="AD9" i="9" s="1"/>
  <c r="AC27" i="9"/>
  <c r="AC19" i="9"/>
  <c r="AC11" i="9"/>
  <c r="AE11" i="9" s="1"/>
  <c r="AE28" i="9"/>
  <c r="O45" i="8"/>
  <c r="P45" i="8" s="1"/>
  <c r="O28" i="8"/>
  <c r="P28" i="8" s="1"/>
  <c r="O29" i="8"/>
  <c r="P29" i="8" s="1"/>
  <c r="O30" i="8"/>
  <c r="P30" i="8" s="1"/>
  <c r="Q30" i="8"/>
  <c r="O31" i="8"/>
  <c r="Q31" i="8" s="1"/>
  <c r="P31" i="8"/>
  <c r="O32" i="8"/>
  <c r="P32" i="8" s="1"/>
  <c r="Q32" i="8"/>
  <c r="O33" i="8"/>
  <c r="P33" i="8" s="1"/>
  <c r="O34" i="8"/>
  <c r="P34" i="8" s="1"/>
  <c r="O35" i="8"/>
  <c r="Q35" i="8" s="1"/>
  <c r="P35" i="8"/>
  <c r="O36" i="8"/>
  <c r="P36" i="8" s="1"/>
  <c r="Q36" i="8"/>
  <c r="O37" i="8"/>
  <c r="P37" i="8" s="1"/>
  <c r="O38" i="8"/>
  <c r="P38" i="8"/>
  <c r="Q38" i="8"/>
  <c r="O39" i="8"/>
  <c r="Q39" i="8" s="1"/>
  <c r="P39" i="8"/>
  <c r="O40" i="8"/>
  <c r="Q40" i="8" s="1"/>
  <c r="P40" i="8"/>
  <c r="O41" i="8"/>
  <c r="P41" i="8" s="1"/>
  <c r="O42" i="8"/>
  <c r="P42" i="8" s="1"/>
  <c r="O43" i="8"/>
  <c r="P43" i="8" s="1"/>
  <c r="Q27" i="8"/>
  <c r="P27" i="8"/>
  <c r="O27" i="8"/>
  <c r="AC24" i="7"/>
  <c r="AC54" i="1"/>
  <c r="O4" i="8"/>
  <c r="P4" i="8" s="1"/>
  <c r="AB24" i="7"/>
  <c r="AD15" i="9" l="1"/>
  <c r="AE24" i="9"/>
  <c r="AE20" i="9"/>
  <c r="AE10" i="9"/>
  <c r="AE14" i="9"/>
  <c r="AD11" i="9"/>
  <c r="AC48" i="7"/>
  <c r="AC21" i="4"/>
  <c r="Q43" i="8"/>
  <c r="Q37" i="8"/>
  <c r="AD7" i="9"/>
  <c r="AE7" i="9"/>
  <c r="AD6" i="9"/>
  <c r="AE9" i="9"/>
  <c r="AE25" i="9"/>
  <c r="AD25" i="9"/>
  <c r="AE17" i="9"/>
  <c r="AD23" i="9"/>
  <c r="AE23" i="9"/>
  <c r="AE8" i="9"/>
  <c r="AD8" i="9"/>
  <c r="AD13" i="9"/>
  <c r="AE13" i="9"/>
  <c r="AE22" i="9"/>
  <c r="AD22" i="9"/>
  <c r="AE21" i="9"/>
  <c r="AE16" i="9"/>
  <c r="AD16" i="9"/>
  <c r="AE12" i="9"/>
  <c r="AD12" i="9"/>
  <c r="AD5" i="9"/>
  <c r="AE5" i="9"/>
  <c r="AE34" i="9"/>
  <c r="AB4" i="9"/>
  <c r="AD4" i="9" s="1"/>
  <c r="Q45" i="8"/>
  <c r="Q29" i="8"/>
  <c r="Q42" i="8"/>
  <c r="Q34" i="8"/>
  <c r="Q28" i="8"/>
  <c r="Q41" i="8"/>
  <c r="Q33" i="8"/>
  <c r="AE4" i="9" l="1"/>
  <c r="Y25" i="5"/>
  <c r="Y48" i="7"/>
  <c r="X23" i="7"/>
  <c r="Y51" i="5"/>
  <c r="Y43" i="4"/>
  <c r="Y21" i="4"/>
  <c r="Y45" i="3"/>
  <c r="Y22" i="3"/>
  <c r="Y23" i="2"/>
  <c r="Y47" i="2"/>
  <c r="Y53" i="1"/>
  <c r="Y26" i="1"/>
  <c r="Y59" i="9"/>
  <c r="Y29" i="9"/>
  <c r="AJ34" i="9"/>
  <c r="AI34" i="9"/>
  <c r="AE7" i="1"/>
  <c r="AA51" i="5" l="1"/>
  <c r="AC51" i="5" s="1"/>
  <c r="AB33" i="1"/>
  <c r="AB32" i="1"/>
  <c r="AB39" i="1"/>
  <c r="AB38" i="1"/>
  <c r="AB45" i="1"/>
  <c r="AB52" i="1"/>
  <c r="AB44" i="1"/>
  <c r="AB36" i="1"/>
  <c r="AB41" i="1"/>
  <c r="AB40" i="1"/>
  <c r="AB47" i="1"/>
  <c r="AB46" i="1"/>
  <c r="AB37" i="1"/>
  <c r="AB51" i="1"/>
  <c r="AB43" i="1"/>
  <c r="AB35" i="1"/>
  <c r="AB49" i="1"/>
  <c r="AB48" i="1"/>
  <c r="AB31" i="1"/>
  <c r="AB50" i="1"/>
  <c r="AB42" i="1"/>
  <c r="AB34" i="1"/>
  <c r="AC12" i="1"/>
  <c r="AB12" i="1"/>
  <c r="AC13" i="1"/>
  <c r="AB13" i="1"/>
  <c r="AB19" i="1"/>
  <c r="AC19" i="1"/>
  <c r="AB10" i="1"/>
  <c r="AC10" i="1"/>
  <c r="AC25" i="1"/>
  <c r="AB25" i="1"/>
  <c r="AC17" i="1"/>
  <c r="AB17" i="1"/>
  <c r="AB9" i="1"/>
  <c r="AC9" i="1"/>
  <c r="AB5" i="1"/>
  <c r="AC5" i="1"/>
  <c r="AB11" i="1"/>
  <c r="AC11" i="1"/>
  <c r="AB18" i="1"/>
  <c r="AC18" i="1"/>
  <c r="AB24" i="1"/>
  <c r="AC24" i="1"/>
  <c r="AB16" i="1"/>
  <c r="AC16" i="1"/>
  <c r="AC8" i="1"/>
  <c r="AB8" i="1"/>
  <c r="AC21" i="1"/>
  <c r="AB21" i="1"/>
  <c r="AB20" i="1"/>
  <c r="AC20" i="1"/>
  <c r="AB4" i="1"/>
  <c r="AC23" i="1"/>
  <c r="AB23" i="1"/>
  <c r="AC15" i="1"/>
  <c r="AB15" i="1"/>
  <c r="AC7" i="1"/>
  <c r="AB7" i="1"/>
  <c r="AC22" i="1"/>
  <c r="AB22" i="1"/>
  <c r="AC14" i="1"/>
  <c r="AB14" i="1"/>
  <c r="AC6" i="1"/>
  <c r="AB6" i="1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E29" i="7"/>
  <c r="AD29" i="7"/>
  <c r="AE5" i="7"/>
  <c r="AE6" i="7"/>
  <c r="AF6" i="7" s="1"/>
  <c r="AE7" i="7"/>
  <c r="AE8" i="7"/>
  <c r="AE9" i="7"/>
  <c r="AE10" i="7"/>
  <c r="AE11" i="7"/>
  <c r="AE12" i="7"/>
  <c r="AE13" i="7"/>
  <c r="AF13" i="7" s="1"/>
  <c r="AE14" i="7"/>
  <c r="AF14" i="7" s="1"/>
  <c r="AE15" i="7"/>
  <c r="AE16" i="7"/>
  <c r="AE17" i="7"/>
  <c r="AE18" i="7"/>
  <c r="AE19" i="7"/>
  <c r="AE20" i="7"/>
  <c r="AE21" i="7"/>
  <c r="AF21" i="7" s="1"/>
  <c r="AE22" i="7"/>
  <c r="AF22" i="7" s="1"/>
  <c r="AD5" i="7"/>
  <c r="AD6" i="7"/>
  <c r="AD7" i="7"/>
  <c r="AD8" i="7"/>
  <c r="AG8" i="7" s="1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4" i="7"/>
  <c r="AE4" i="7"/>
  <c r="AE41" i="2"/>
  <c r="AE42" i="2"/>
  <c r="AE43" i="2"/>
  <c r="AE44" i="2"/>
  <c r="AE45" i="2"/>
  <c r="AE46" i="2"/>
  <c r="AD41" i="2"/>
  <c r="AD42" i="2"/>
  <c r="AD43" i="2"/>
  <c r="AG43" i="2" s="1"/>
  <c r="AD44" i="2"/>
  <c r="AD45" i="2"/>
  <c r="AD46" i="2"/>
  <c r="AD47" i="2"/>
  <c r="AF28" i="2"/>
  <c r="AE29" i="2"/>
  <c r="AG29" i="2" s="1"/>
  <c r="AE30" i="2"/>
  <c r="AE31" i="2"/>
  <c r="AE32" i="2"/>
  <c r="AE33" i="2"/>
  <c r="AE34" i="2"/>
  <c r="AG34" i="2" s="1"/>
  <c r="AE35" i="2"/>
  <c r="AE36" i="2"/>
  <c r="AG36" i="2" s="1"/>
  <c r="AE37" i="2"/>
  <c r="AG37" i="2" s="1"/>
  <c r="AE38" i="2"/>
  <c r="AE39" i="2"/>
  <c r="AE40" i="2"/>
  <c r="AD29" i="2"/>
  <c r="AD30" i="2"/>
  <c r="AG30" i="2" s="1"/>
  <c r="AD31" i="2"/>
  <c r="AD32" i="2"/>
  <c r="AF32" i="2" s="1"/>
  <c r="AD33" i="2"/>
  <c r="AD34" i="2"/>
  <c r="AD35" i="2"/>
  <c r="AD36" i="2"/>
  <c r="AD37" i="2"/>
  <c r="AD38" i="2"/>
  <c r="AG38" i="2" s="1"/>
  <c r="AD39" i="2"/>
  <c r="AD40" i="2"/>
  <c r="AG40" i="2" s="1"/>
  <c r="AG41" i="2"/>
  <c r="AE28" i="2"/>
  <c r="AD28" i="2"/>
  <c r="AG28" i="2" s="1"/>
  <c r="AE5" i="2"/>
  <c r="AE6" i="2"/>
  <c r="AE7" i="2"/>
  <c r="AE8" i="2"/>
  <c r="AE9" i="2"/>
  <c r="AG9" i="2" s="1"/>
  <c r="AE10" i="2"/>
  <c r="AE11" i="2"/>
  <c r="AF11" i="2" s="1"/>
  <c r="AE12" i="2"/>
  <c r="AE13" i="2"/>
  <c r="AE14" i="2"/>
  <c r="AE15" i="2"/>
  <c r="AE16" i="2"/>
  <c r="AE17" i="2"/>
  <c r="AF17" i="2" s="1"/>
  <c r="AE18" i="2"/>
  <c r="AE19" i="2"/>
  <c r="AE20" i="2"/>
  <c r="AE21" i="2"/>
  <c r="AE22" i="2"/>
  <c r="AD5" i="2"/>
  <c r="AG5" i="2" s="1"/>
  <c r="AD6" i="2"/>
  <c r="AD7" i="2"/>
  <c r="AD8" i="2"/>
  <c r="AD9" i="2"/>
  <c r="AD10" i="2"/>
  <c r="AD11" i="2"/>
  <c r="AD12" i="2"/>
  <c r="AG12" i="2" s="1"/>
  <c r="AD13" i="2"/>
  <c r="AG13" i="2" s="1"/>
  <c r="AD14" i="2"/>
  <c r="AD15" i="2"/>
  <c r="AD16" i="2"/>
  <c r="AD17" i="2"/>
  <c r="AD18" i="2"/>
  <c r="AD19" i="2"/>
  <c r="AD20" i="2"/>
  <c r="AG20" i="2" s="1"/>
  <c r="AD21" i="2"/>
  <c r="AG21" i="2" s="1"/>
  <c r="AD22" i="2"/>
  <c r="AD23" i="2"/>
  <c r="AD24" i="2" s="1"/>
  <c r="AE4" i="2"/>
  <c r="AD4" i="2"/>
  <c r="AE43" i="1"/>
  <c r="AE44" i="1"/>
  <c r="AG44" i="1" s="1"/>
  <c r="AE45" i="1"/>
  <c r="AG45" i="1" s="1"/>
  <c r="AE46" i="1"/>
  <c r="AE47" i="1"/>
  <c r="AE48" i="1"/>
  <c r="AE49" i="1"/>
  <c r="AF49" i="1" s="1"/>
  <c r="AE50" i="1"/>
  <c r="AE51" i="1"/>
  <c r="AE52" i="1"/>
  <c r="AF52" i="1" s="1"/>
  <c r="AD43" i="1"/>
  <c r="AF43" i="1" s="1"/>
  <c r="AD44" i="1"/>
  <c r="AD45" i="1"/>
  <c r="AD46" i="1"/>
  <c r="AG46" i="1" s="1"/>
  <c r="AD47" i="1"/>
  <c r="AD48" i="1"/>
  <c r="AD49" i="1"/>
  <c r="AD50" i="1"/>
  <c r="AD51" i="1"/>
  <c r="AF51" i="1" s="1"/>
  <c r="AD52" i="1"/>
  <c r="AD53" i="1"/>
  <c r="AG34" i="1"/>
  <c r="AE31" i="1"/>
  <c r="AD31" i="1"/>
  <c r="AG31" i="1" s="1"/>
  <c r="AE42" i="1"/>
  <c r="AD42" i="1"/>
  <c r="AG42" i="1" s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F35" i="1" s="1"/>
  <c r="AE34" i="1"/>
  <c r="AD34" i="1"/>
  <c r="AE33" i="1"/>
  <c r="AD33" i="1"/>
  <c r="AE32" i="1"/>
  <c r="AD32" i="1"/>
  <c r="AG7" i="1"/>
  <c r="AE5" i="1"/>
  <c r="AE6" i="1"/>
  <c r="AF6" i="1" s="1"/>
  <c r="AE8" i="1"/>
  <c r="AE9" i="1"/>
  <c r="AG9" i="1" s="1"/>
  <c r="AE10" i="1"/>
  <c r="AF10" i="1" s="1"/>
  <c r="AE11" i="1"/>
  <c r="AE12" i="1"/>
  <c r="AE13" i="1"/>
  <c r="AE14" i="1"/>
  <c r="AE15" i="1"/>
  <c r="AE16" i="1"/>
  <c r="AE17" i="1"/>
  <c r="AG17" i="1" s="1"/>
  <c r="AE18" i="1"/>
  <c r="AF18" i="1" s="1"/>
  <c r="AE19" i="1"/>
  <c r="AE20" i="1"/>
  <c r="AE21" i="1"/>
  <c r="AE22" i="1"/>
  <c r="AE23" i="1"/>
  <c r="AE24" i="1"/>
  <c r="AE25" i="1"/>
  <c r="AG25" i="1" s="1"/>
  <c r="AD5" i="1"/>
  <c r="AG5" i="1" s="1"/>
  <c r="AD6" i="1"/>
  <c r="AD7" i="1"/>
  <c r="AF7" i="1" s="1"/>
  <c r="AD8" i="1"/>
  <c r="AD9" i="1"/>
  <c r="AD10" i="1"/>
  <c r="AD11" i="1"/>
  <c r="AG11" i="1" s="1"/>
  <c r="AD12" i="1"/>
  <c r="AF12" i="1" s="1"/>
  <c r="AD13" i="1"/>
  <c r="AG13" i="1" s="1"/>
  <c r="AD14" i="1"/>
  <c r="AD15" i="1"/>
  <c r="AD16" i="1"/>
  <c r="AD17" i="1"/>
  <c r="AD18" i="1"/>
  <c r="AD19" i="1"/>
  <c r="AG19" i="1" s="1"/>
  <c r="AD20" i="1"/>
  <c r="AF20" i="1" s="1"/>
  <c r="AD21" i="1"/>
  <c r="AF21" i="1" s="1"/>
  <c r="AD22" i="1"/>
  <c r="AD23" i="1"/>
  <c r="AD24" i="1"/>
  <c r="AD25" i="1"/>
  <c r="AD26" i="1"/>
  <c r="AD27" i="1" s="1"/>
  <c r="AI36" i="9"/>
  <c r="AJ48" i="9"/>
  <c r="AJ47" i="9"/>
  <c r="AI47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I35" i="9"/>
  <c r="AI37" i="9"/>
  <c r="AI38" i="9"/>
  <c r="AI39" i="9"/>
  <c r="AI40" i="9"/>
  <c r="AI41" i="9"/>
  <c r="AI42" i="9"/>
  <c r="AI43" i="9"/>
  <c r="AI44" i="9"/>
  <c r="AI45" i="9"/>
  <c r="AI46" i="9"/>
  <c r="AI48" i="9"/>
  <c r="AB51" i="5" l="1"/>
  <c r="AF11" i="7"/>
  <c r="AG45" i="7"/>
  <c r="AF5" i="7"/>
  <c r="AF19" i="7"/>
  <c r="AG47" i="7"/>
  <c r="AG46" i="7"/>
  <c r="AG15" i="7"/>
  <c r="AG7" i="7"/>
  <c r="AG17" i="7"/>
  <c r="AG9" i="7"/>
  <c r="AF46" i="7"/>
  <c r="AG37" i="7"/>
  <c r="AG22" i="7"/>
  <c r="AG14" i="7"/>
  <c r="AG6" i="7"/>
  <c r="AF16" i="7"/>
  <c r="AF8" i="7"/>
  <c r="AG44" i="7"/>
  <c r="AG36" i="7"/>
  <c r="AG19" i="2"/>
  <c r="AG11" i="2"/>
  <c r="AG15" i="2"/>
  <c r="AF14" i="2"/>
  <c r="AF6" i="2"/>
  <c r="AF9" i="2"/>
  <c r="AG44" i="2"/>
  <c r="AG4" i="2"/>
  <c r="AF18" i="2"/>
  <c r="AF10" i="2"/>
  <c r="AG42" i="2"/>
  <c r="AG40" i="1"/>
  <c r="AF16" i="1"/>
  <c r="AG8" i="1"/>
  <c r="AG23" i="1"/>
  <c r="AF15" i="1"/>
  <c r="AF32" i="1"/>
  <c r="AF36" i="1"/>
  <c r="AG14" i="1"/>
  <c r="AG41" i="1"/>
  <c r="AF14" i="1"/>
  <c r="AG16" i="1"/>
  <c r="AG6" i="1"/>
  <c r="AG17" i="2"/>
  <c r="AF24" i="1"/>
  <c r="AF8" i="1"/>
  <c r="AG43" i="1"/>
  <c r="AG22" i="2"/>
  <c r="AG14" i="2"/>
  <c r="AG6" i="2"/>
  <c r="AG16" i="2"/>
  <c r="AG8" i="2"/>
  <c r="AG39" i="2"/>
  <c r="AG31" i="2"/>
  <c r="AG35" i="2"/>
  <c r="AG4" i="7"/>
  <c r="AG16" i="7"/>
  <c r="AG29" i="7"/>
  <c r="AF21" i="2"/>
  <c r="AF13" i="2"/>
  <c r="AF5" i="2"/>
  <c r="AG32" i="2"/>
  <c r="AG46" i="2"/>
  <c r="AF9" i="1"/>
  <c r="AG35" i="1"/>
  <c r="AF39" i="1"/>
  <c r="AG39" i="1"/>
  <c r="AG50" i="1"/>
  <c r="AF15" i="2"/>
  <c r="AF7" i="2"/>
  <c r="AF5" i="1"/>
  <c r="AG7" i="2"/>
  <c r="AG33" i="2"/>
  <c r="AF13" i="1"/>
  <c r="AF17" i="1"/>
  <c r="AG15" i="1"/>
  <c r="AF33" i="1"/>
  <c r="AG37" i="1"/>
  <c r="AG32" i="1"/>
  <c r="AG48" i="1"/>
  <c r="AG47" i="1"/>
  <c r="AF12" i="2"/>
  <c r="AG45" i="2"/>
  <c r="AF20" i="7"/>
  <c r="AF12" i="7"/>
  <c r="AF22" i="1"/>
  <c r="AF19" i="1"/>
  <c r="AF11" i="1"/>
  <c r="AG38" i="1"/>
  <c r="AF44" i="1"/>
  <c r="AF18" i="7"/>
  <c r="AF10" i="7"/>
  <c r="AG21" i="7"/>
  <c r="AG13" i="7"/>
  <c r="AG5" i="7"/>
  <c r="AF17" i="7"/>
  <c r="AF9" i="7"/>
  <c r="AG20" i="7"/>
  <c r="AG12" i="7"/>
  <c r="AG33" i="7"/>
  <c r="AG19" i="7"/>
  <c r="AG11" i="7"/>
  <c r="AG40" i="7"/>
  <c r="AF15" i="7"/>
  <c r="AF7" i="7"/>
  <c r="AG18" i="7"/>
  <c r="AG10" i="7"/>
  <c r="AG43" i="7"/>
  <c r="AG35" i="7"/>
  <c r="AF16" i="2"/>
  <c r="AF8" i="2"/>
  <c r="AG18" i="2"/>
  <c r="AF4" i="2"/>
  <c r="AF19" i="2"/>
  <c r="AG10" i="2"/>
  <c r="AF22" i="2"/>
  <c r="AF20" i="2"/>
  <c r="AG33" i="1"/>
  <c r="AF34" i="1"/>
  <c r="AF48" i="1"/>
  <c r="AG12" i="1"/>
  <c r="AF42" i="1"/>
  <c r="AF47" i="1"/>
  <c r="AF50" i="1"/>
  <c r="AF23" i="1"/>
  <c r="AF46" i="1"/>
  <c r="AG18" i="1"/>
  <c r="AG10" i="1"/>
  <c r="AG36" i="1"/>
  <c r="AG52" i="1"/>
  <c r="AF45" i="1"/>
  <c r="AG49" i="1"/>
  <c r="AG51" i="1"/>
  <c r="AF4" i="1"/>
  <c r="AG42" i="7"/>
  <c r="AG34" i="7"/>
  <c r="AG41" i="7"/>
  <c r="AG32" i="7"/>
  <c r="AG39" i="7"/>
  <c r="AG31" i="7"/>
  <c r="AG38" i="7"/>
  <c r="AG30" i="7"/>
  <c r="AF43" i="7"/>
  <c r="AF40" i="7"/>
  <c r="AF29" i="7"/>
  <c r="AF32" i="7"/>
  <c r="AF35" i="7"/>
  <c r="AF38" i="7"/>
  <c r="AF30" i="7"/>
  <c r="AF47" i="7"/>
  <c r="AF36" i="7"/>
  <c r="AF39" i="7"/>
  <c r="AF31" i="7"/>
  <c r="AF34" i="7"/>
  <c r="AF41" i="7"/>
  <c r="AF33" i="7"/>
  <c r="AF45" i="7"/>
  <c r="AF37" i="7"/>
  <c r="AF44" i="7"/>
  <c r="AF42" i="7"/>
  <c r="AF4" i="7"/>
  <c r="AF46" i="2"/>
  <c r="AF45" i="2"/>
  <c r="AF44" i="2"/>
  <c r="AF43" i="2"/>
  <c r="AF42" i="2"/>
  <c r="AF39" i="2"/>
  <c r="AF35" i="2"/>
  <c r="AF38" i="2"/>
  <c r="AF41" i="2"/>
  <c r="AF30" i="2"/>
  <c r="AF36" i="2"/>
  <c r="AF31" i="2"/>
  <c r="AF34" i="2"/>
  <c r="AF37" i="2"/>
  <c r="AF40" i="2"/>
  <c r="AF29" i="2"/>
  <c r="AF33" i="2"/>
  <c r="AG20" i="1"/>
  <c r="AG24" i="1"/>
  <c r="AG21" i="1"/>
  <c r="AF25" i="1"/>
  <c r="AG22" i="1"/>
  <c r="AG4" i="1"/>
  <c r="AF40" i="1"/>
  <c r="AF41" i="1"/>
  <c r="AF37" i="1"/>
  <c r="AF31" i="1"/>
  <c r="AF38" i="1"/>
  <c r="AL39" i="9"/>
  <c r="AL38" i="9"/>
  <c r="AL37" i="9"/>
  <c r="AK35" i="9"/>
  <c r="AL42" i="9"/>
  <c r="AL41" i="9"/>
  <c r="AK40" i="9"/>
  <c r="AL36" i="9"/>
  <c r="AL46" i="9"/>
  <c r="AK46" i="9"/>
  <c r="AL45" i="9"/>
  <c r="AL47" i="9"/>
  <c r="AL44" i="9"/>
  <c r="AL40" i="9"/>
  <c r="AK34" i="9"/>
  <c r="AL43" i="9"/>
  <c r="AL48" i="9"/>
  <c r="AK43" i="9"/>
  <c r="AL35" i="9"/>
  <c r="AL34" i="9"/>
  <c r="AK45" i="9"/>
  <c r="AK44" i="9"/>
  <c r="AK42" i="9"/>
  <c r="AK41" i="9"/>
  <c r="AK39" i="9"/>
  <c r="AK38" i="9"/>
  <c r="AK37" i="9"/>
  <c r="AK36" i="9"/>
  <c r="AK47" i="9"/>
  <c r="AK48" i="9"/>
  <c r="X59" i="9" l="1"/>
  <c r="X29" i="9"/>
  <c r="L44" i="8"/>
  <c r="O5" i="8"/>
  <c r="P5" i="8" s="1"/>
  <c r="O6" i="8"/>
  <c r="P6" i="8" s="1"/>
  <c r="O7" i="8"/>
  <c r="P7" i="8" s="1"/>
  <c r="O8" i="8"/>
  <c r="P8" i="8" s="1"/>
  <c r="O9" i="8"/>
  <c r="P9" i="8" s="1"/>
  <c r="O10" i="8"/>
  <c r="P10" i="8" s="1"/>
  <c r="O11" i="8"/>
  <c r="P11" i="8" s="1"/>
  <c r="O12" i="8"/>
  <c r="P12" i="8" s="1"/>
  <c r="O13" i="8"/>
  <c r="P13" i="8" s="1"/>
  <c r="O14" i="8"/>
  <c r="P14" i="8" s="1"/>
  <c r="O15" i="8"/>
  <c r="P15" i="8" s="1"/>
  <c r="O16" i="8"/>
  <c r="P16" i="8" s="1"/>
  <c r="O17" i="8"/>
  <c r="P17" i="8" s="1"/>
  <c r="O18" i="8"/>
  <c r="P18" i="8" s="1"/>
  <c r="O19" i="8"/>
  <c r="P19" i="8" s="1"/>
  <c r="O20" i="8"/>
  <c r="D21" i="8"/>
  <c r="E21" i="8"/>
  <c r="F21" i="8"/>
  <c r="G21" i="8"/>
  <c r="H21" i="8"/>
  <c r="I21" i="8"/>
  <c r="J21" i="8"/>
  <c r="K21" i="8"/>
  <c r="L21" i="8"/>
  <c r="C21" i="8"/>
  <c r="X22" i="3"/>
  <c r="X45" i="3"/>
  <c r="X48" i="7"/>
  <c r="X51" i="5"/>
  <c r="X25" i="5"/>
  <c r="X21" i="4"/>
  <c r="X43" i="4"/>
  <c r="X47" i="2"/>
  <c r="X23" i="2"/>
  <c r="X53" i="1"/>
  <c r="X26" i="1"/>
  <c r="W23" i="7"/>
  <c r="W51" i="5"/>
  <c r="K44" i="8"/>
  <c r="O21" i="8" l="1"/>
  <c r="P21" i="8" s="1"/>
  <c r="Q20" i="8"/>
  <c r="P20" i="8"/>
  <c r="W48" i="7"/>
  <c r="AA26" i="5"/>
  <c r="W25" i="5"/>
  <c r="W43" i="4"/>
  <c r="W21" i="4"/>
  <c r="W22" i="3"/>
  <c r="W45" i="3"/>
  <c r="W47" i="2"/>
  <c r="W23" i="2"/>
  <c r="W53" i="1"/>
  <c r="W26" i="1"/>
  <c r="W59" i="9"/>
  <c r="W29" i="9"/>
  <c r="V23" i="7"/>
  <c r="V43" i="4"/>
  <c r="V53" i="1"/>
  <c r="Q16" i="8" l="1"/>
  <c r="Q8" i="8"/>
  <c r="Q15" i="8"/>
  <c r="Q7" i="8"/>
  <c r="Q14" i="8"/>
  <c r="Q6" i="8"/>
  <c r="Q4" i="8"/>
  <c r="Q13" i="8"/>
  <c r="Q5" i="8"/>
  <c r="Q12" i="8"/>
  <c r="Q19" i="8"/>
  <c r="Q11" i="8"/>
  <c r="Q21" i="8"/>
  <c r="Q18" i="8"/>
  <c r="Q10" i="8"/>
  <c r="Q17" i="8"/>
  <c r="Q9" i="8"/>
  <c r="J44" i="8"/>
  <c r="I44" i="8"/>
  <c r="H44" i="8"/>
  <c r="O44" i="8" s="1"/>
  <c r="G44" i="8"/>
  <c r="F44" i="8"/>
  <c r="E44" i="8"/>
  <c r="D44" i="8"/>
  <c r="C44" i="8"/>
  <c r="B44" i="8"/>
  <c r="B21" i="8"/>
  <c r="V48" i="7"/>
  <c r="U48" i="7"/>
  <c r="T48" i="7"/>
  <c r="S48" i="7"/>
  <c r="R48" i="7"/>
  <c r="Q48" i="7"/>
  <c r="P48" i="7"/>
  <c r="O48" i="7"/>
  <c r="N48" i="7"/>
  <c r="O23" i="7"/>
  <c r="P23" i="7"/>
  <c r="Q23" i="7"/>
  <c r="R23" i="7"/>
  <c r="S23" i="7"/>
  <c r="T23" i="7"/>
  <c r="U23" i="7"/>
  <c r="N23" i="7"/>
  <c r="V51" i="5"/>
  <c r="U51" i="5"/>
  <c r="T51" i="5"/>
  <c r="S51" i="5"/>
  <c r="R51" i="5"/>
  <c r="Q51" i="5"/>
  <c r="P51" i="5"/>
  <c r="O51" i="5"/>
  <c r="N51" i="5"/>
  <c r="O25" i="5"/>
  <c r="P25" i="5"/>
  <c r="Q25" i="5"/>
  <c r="R25" i="5"/>
  <c r="S25" i="5"/>
  <c r="T25" i="5"/>
  <c r="U25" i="5"/>
  <c r="V25" i="5"/>
  <c r="N25" i="5"/>
  <c r="V21" i="4"/>
  <c r="U21" i="4"/>
  <c r="T21" i="4"/>
  <c r="S21" i="4"/>
  <c r="R21" i="4"/>
  <c r="Q21" i="4"/>
  <c r="P21" i="4"/>
  <c r="O21" i="4"/>
  <c r="N21" i="4"/>
  <c r="O43" i="4"/>
  <c r="P43" i="4"/>
  <c r="Q43" i="4"/>
  <c r="R43" i="4"/>
  <c r="S43" i="4"/>
  <c r="T43" i="4"/>
  <c r="U43" i="4"/>
  <c r="N43" i="4"/>
  <c r="V45" i="3"/>
  <c r="U45" i="3"/>
  <c r="T45" i="3"/>
  <c r="S45" i="3"/>
  <c r="R45" i="3"/>
  <c r="Q45" i="3"/>
  <c r="P45" i="3"/>
  <c r="O45" i="3"/>
  <c r="N45" i="3"/>
  <c r="O22" i="3"/>
  <c r="P22" i="3"/>
  <c r="Q22" i="3"/>
  <c r="R22" i="3"/>
  <c r="S22" i="3"/>
  <c r="T22" i="3"/>
  <c r="U22" i="3"/>
  <c r="V22" i="3"/>
  <c r="N22" i="3"/>
  <c r="V47" i="2"/>
  <c r="U47" i="2"/>
  <c r="T47" i="2"/>
  <c r="S47" i="2"/>
  <c r="R47" i="2"/>
  <c r="Q47" i="2"/>
  <c r="P47" i="2"/>
  <c r="O47" i="2"/>
  <c r="N47" i="2"/>
  <c r="U23" i="2"/>
  <c r="T23" i="2"/>
  <c r="S23" i="2"/>
  <c r="R23" i="2"/>
  <c r="Q23" i="2"/>
  <c r="P23" i="2"/>
  <c r="O23" i="2"/>
  <c r="N23" i="2"/>
  <c r="V23" i="2"/>
  <c r="U53" i="1"/>
  <c r="T53" i="1"/>
  <c r="S53" i="1"/>
  <c r="R53" i="1"/>
  <c r="Q53" i="1"/>
  <c r="P53" i="1"/>
  <c r="O53" i="1"/>
  <c r="N53" i="1"/>
  <c r="U26" i="1"/>
  <c r="T26" i="1"/>
  <c r="S26" i="1"/>
  <c r="R26" i="1"/>
  <c r="Q26" i="1"/>
  <c r="P26" i="1"/>
  <c r="O26" i="1"/>
  <c r="N26" i="1"/>
  <c r="V26" i="1"/>
  <c r="O29" i="9"/>
  <c r="P29" i="9"/>
  <c r="Q29" i="9"/>
  <c r="R29" i="9"/>
  <c r="S29" i="9"/>
  <c r="T29" i="9"/>
  <c r="U29" i="9"/>
  <c r="V29" i="9"/>
  <c r="N29" i="9"/>
  <c r="U59" i="9"/>
  <c r="T59" i="9"/>
  <c r="S59" i="9"/>
  <c r="R59" i="9"/>
  <c r="Q59" i="9"/>
  <c r="P59" i="9"/>
  <c r="O59" i="9"/>
  <c r="N59" i="9"/>
  <c r="V59" i="9"/>
  <c r="P44" i="8" l="1"/>
  <c r="Q44" i="8"/>
  <c r="AE23" i="7"/>
  <c r="AE48" i="7"/>
  <c r="AE47" i="2"/>
  <c r="AH31" i="2" s="1"/>
  <c r="AE23" i="2"/>
  <c r="AE24" i="2" s="1"/>
  <c r="AE26" i="1"/>
  <c r="AE27" i="1" s="1"/>
  <c r="AE53" i="1"/>
  <c r="AB53" i="1" l="1"/>
  <c r="AB26" i="1"/>
  <c r="AC26" i="1"/>
  <c r="AH37" i="2"/>
  <c r="AH33" i="2"/>
  <c r="AH30" i="2"/>
  <c r="AH47" i="2"/>
  <c r="AH8" i="7"/>
  <c r="AH7" i="7"/>
  <c r="AG23" i="7"/>
  <c r="AH23" i="7"/>
  <c r="AF23" i="7"/>
  <c r="AH16" i="7"/>
  <c r="AH15" i="7"/>
  <c r="AH20" i="7"/>
  <c r="AH14" i="7"/>
  <c r="AH12" i="7"/>
  <c r="AH6" i="7"/>
  <c r="AH4" i="7"/>
  <c r="AH18" i="7"/>
  <c r="AH10" i="7"/>
  <c r="AH21" i="7"/>
  <c r="AH11" i="7"/>
  <c r="AH17" i="7"/>
  <c r="AH13" i="7"/>
  <c r="AH19" i="7"/>
  <c r="AH9" i="7"/>
  <c r="AH5" i="7"/>
  <c r="AH22" i="7"/>
  <c r="AH36" i="2"/>
  <c r="AH29" i="2"/>
  <c r="AG27" i="1"/>
  <c r="AF27" i="1"/>
  <c r="AH47" i="7"/>
  <c r="AH46" i="7"/>
  <c r="AH45" i="7"/>
  <c r="AH48" i="7"/>
  <c r="AG48" i="7"/>
  <c r="AH32" i="7"/>
  <c r="AH39" i="7"/>
  <c r="AH36" i="7"/>
  <c r="AH41" i="7"/>
  <c r="AH34" i="7"/>
  <c r="AH31" i="7"/>
  <c r="AH33" i="7"/>
  <c r="AH43" i="7"/>
  <c r="AH29" i="7"/>
  <c r="AH42" i="7"/>
  <c r="AH40" i="7"/>
  <c r="AH30" i="7"/>
  <c r="AH35" i="7"/>
  <c r="AH37" i="7"/>
  <c r="AH38" i="7"/>
  <c r="AH44" i="7"/>
  <c r="AF48" i="7"/>
  <c r="AH44" i="2"/>
  <c r="AH32" i="2"/>
  <c r="AH45" i="2"/>
  <c r="AH43" i="2"/>
  <c r="AH28" i="2"/>
  <c r="AG47" i="2"/>
  <c r="AF47" i="2"/>
  <c r="AH38" i="2"/>
  <c r="AH41" i="2"/>
  <c r="AH39" i="2"/>
  <c r="AH34" i="2"/>
  <c r="AH40" i="2"/>
  <c r="AH35" i="2"/>
  <c r="AH46" i="2"/>
  <c r="AH42" i="2"/>
  <c r="AH23" i="2"/>
  <c r="AH9" i="2"/>
  <c r="AH7" i="2"/>
  <c r="AH6" i="2"/>
  <c r="AH5" i="2"/>
  <c r="AH13" i="2"/>
  <c r="AH8" i="2"/>
  <c r="AF23" i="2"/>
  <c r="AH19" i="2"/>
  <c r="AH18" i="2"/>
  <c r="AH4" i="2"/>
  <c r="AH16" i="2"/>
  <c r="AH15" i="2"/>
  <c r="AH14" i="2"/>
  <c r="AG23" i="2"/>
  <c r="AH12" i="2"/>
  <c r="AH10" i="2"/>
  <c r="AH11" i="2"/>
  <c r="AH17" i="2"/>
  <c r="AH20" i="2"/>
  <c r="AH21" i="2"/>
  <c r="AH22" i="2"/>
  <c r="AH8" i="1"/>
  <c r="AH19" i="1"/>
  <c r="AH12" i="1"/>
  <c r="AH11" i="1"/>
  <c r="AH10" i="1"/>
  <c r="AH7" i="1"/>
  <c r="AH5" i="1"/>
  <c r="AH18" i="1"/>
  <c r="AH17" i="1"/>
  <c r="AH16" i="1"/>
  <c r="AH14" i="1"/>
  <c r="AH24" i="1"/>
  <c r="AH9" i="1"/>
  <c r="AH6" i="1"/>
  <c r="AH4" i="1"/>
  <c r="AH15" i="1"/>
  <c r="AH25" i="1"/>
  <c r="AH23" i="1"/>
  <c r="AH13" i="1"/>
  <c r="AH20" i="1"/>
  <c r="AH21" i="1"/>
  <c r="AH22" i="1"/>
  <c r="AH36" i="1"/>
  <c r="AH45" i="1"/>
  <c r="AG53" i="1"/>
  <c r="AH41" i="1"/>
  <c r="AH40" i="1"/>
  <c r="AH31" i="1"/>
  <c r="AH39" i="1"/>
  <c r="AH44" i="1"/>
  <c r="AH38" i="1"/>
  <c r="AF53" i="1"/>
  <c r="AH43" i="1"/>
  <c r="AH37" i="1"/>
  <c r="AH32" i="1"/>
  <c r="AH33" i="1"/>
  <c r="AH34" i="1"/>
  <c r="AH42" i="1"/>
  <c r="AH35" i="1"/>
  <c r="AD59" i="9"/>
  <c r="AE59" i="9" l="1"/>
  <c r="AD38" i="9"/>
  <c r="AD36" i="9" l="1"/>
  <c r="AE36" i="9"/>
  <c r="AE50" i="9"/>
  <c r="AE58" i="9"/>
  <c r="AD52" i="9"/>
  <c r="AE52" i="9"/>
  <c r="AD54" i="9"/>
  <c r="AD41" i="9"/>
  <c r="AD51" i="9"/>
  <c r="AD53" i="9"/>
  <c r="AD43" i="9"/>
  <c r="AE46" i="9"/>
  <c r="AD47" i="9"/>
  <c r="AE43" i="9"/>
  <c r="AE39" i="9"/>
  <c r="AD34" i="9"/>
  <c r="AE53" i="9"/>
  <c r="AD50" i="9"/>
  <c r="AE47" i="9"/>
  <c r="AE38" i="9"/>
  <c r="AD39" i="9"/>
  <c r="AD58" i="9"/>
  <c r="AD44" i="9"/>
  <c r="AE41" i="9"/>
  <c r="AE51" i="9"/>
  <c r="AE55" i="9"/>
  <c r="AE44" i="9"/>
  <c r="AD55" i="9"/>
  <c r="AE42" i="9"/>
  <c r="AD42" i="9"/>
  <c r="AE54" i="9"/>
  <c r="AD46" i="9"/>
  <c r="AE45" i="9"/>
  <c r="AD45" i="9"/>
  <c r="AE37" i="9"/>
  <c r="AD37" i="9"/>
  <c r="AE40" i="9"/>
  <c r="AD40" i="9"/>
  <c r="AE35" i="9"/>
  <c r="AD35" i="9"/>
  <c r="AE48" i="9"/>
  <c r="AD48" i="9"/>
</calcChain>
</file>

<file path=xl/sharedStrings.xml><?xml version="1.0" encoding="utf-8"?>
<sst xmlns="http://schemas.openxmlformats.org/spreadsheetml/2006/main" count="487" uniqueCount="66">
  <si>
    <t>Summary</t>
  </si>
  <si>
    <t>SELL IN-VALUE</t>
  </si>
  <si>
    <t>Row Labels</t>
  </si>
  <si>
    <t>P6</t>
  </si>
  <si>
    <t>vs P6</t>
  </si>
  <si>
    <t>Difference</t>
  </si>
  <si>
    <t>Q1 vs Q average</t>
  </si>
  <si>
    <t>Diff Bud vs Q average</t>
  </si>
  <si>
    <t>MYPICOS</t>
  </si>
  <si>
    <t>NEO-PENOTRAN FORTE</t>
  </si>
  <si>
    <t>LIZELLE</t>
  </si>
  <si>
    <t>VINCA</t>
  </si>
  <si>
    <t>NEO-PENOTRAN</t>
  </si>
  <si>
    <t>CYBELLE</t>
  </si>
  <si>
    <t>SLINDA</t>
  </si>
  <si>
    <t>LIZA</t>
  </si>
  <si>
    <t>REGENESIS MAX</t>
  </si>
  <si>
    <t>HEMOLAC PLUS</t>
  </si>
  <si>
    <t>DICLEGIS</t>
  </si>
  <si>
    <t>NEO-PENOTRAN FORTE-L</t>
  </si>
  <si>
    <t>MINIPIL</t>
  </si>
  <si>
    <t>EXELFOS</t>
  </si>
  <si>
    <t>EXPROGEST</t>
  </si>
  <si>
    <t>GYNOMAX</t>
  </si>
  <si>
    <t xml:space="preserve">BIOFOLATE </t>
  </si>
  <si>
    <t>SULIDIN THERMO 10MG/G LOT 1'S</t>
  </si>
  <si>
    <t>SULIDIN THERMO 10MG/G LOT 15G 1'S</t>
  </si>
  <si>
    <t>LIZONYA</t>
  </si>
  <si>
    <t>MICOTRAN</t>
  </si>
  <si>
    <t>NEOPENMAX</t>
  </si>
  <si>
    <t>SYNTOCINON</t>
  </si>
  <si>
    <t>Exprogest Oral</t>
  </si>
  <si>
    <t>LOOSE ITEM</t>
  </si>
  <si>
    <t>Grand Total</t>
  </si>
  <si>
    <t>SELL IN-VOLUME</t>
  </si>
  <si>
    <t>Remarks</t>
  </si>
  <si>
    <t>Channels</t>
  </si>
  <si>
    <t>SPLY 2024</t>
  </si>
  <si>
    <t>SPLY 2025</t>
  </si>
  <si>
    <t>Growth</t>
  </si>
  <si>
    <t>Variance</t>
  </si>
  <si>
    <t xml:space="preserve">MYPICOS </t>
  </si>
  <si>
    <t xml:space="preserve">above P6 average </t>
  </si>
  <si>
    <t>Dispensing,Watsons,Other ZPC</t>
  </si>
  <si>
    <t xml:space="preserve">NEO-PENOTRAN FORTE </t>
  </si>
  <si>
    <t xml:space="preserve">MDC,Dispensing, Other ZPC </t>
  </si>
  <si>
    <t>below P6 average</t>
  </si>
  <si>
    <t xml:space="preserve">VINCA </t>
  </si>
  <si>
    <t>Watsons and Other ZPC</t>
  </si>
  <si>
    <t xml:space="preserve">NEO-PENOTRAN </t>
  </si>
  <si>
    <t xml:space="preserve">SLINDA </t>
  </si>
  <si>
    <t xml:space="preserve">LIZA </t>
  </si>
  <si>
    <t xml:space="preserve">REGENESIS MAX </t>
  </si>
  <si>
    <t xml:space="preserve">NEO-PENOTRAN FORTE-L </t>
  </si>
  <si>
    <t xml:space="preserve">EXPROGEST </t>
  </si>
  <si>
    <t xml:space="preserve">NEOPENMAX </t>
  </si>
  <si>
    <t>above P6 ave</t>
  </si>
  <si>
    <t>MERCURY</t>
  </si>
  <si>
    <t xml:space="preserve">SPLY 2024 </t>
  </si>
  <si>
    <t>SOB</t>
  </si>
  <si>
    <t>WATSON</t>
  </si>
  <si>
    <t>ROSE PHARMACY</t>
  </si>
  <si>
    <t>SOUTHSTAR DRUG</t>
  </si>
  <si>
    <t>ZPC -Other Trade</t>
  </si>
  <si>
    <t>PMI</t>
  </si>
  <si>
    <t>INHOUSE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</si>
</sst>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1" applyNumberFormat="1" applyFont="1" applyFill="1" applyBorder="1" applyAlignment="1" applyProtection="1">
      <alignment horizontal="center"/>
    </xf>
    <xf numFmtId="9" fontId="4" fillId="5" borderId="0" xfId="2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0" xfId="0" applyNumberFormat="1" applyFont="1" applyFill="1"/>
    <xf numFmtId="164" fontId="2" fillId="6" borderId="0" xfId="0" applyNumberFormat="1" applyFont="1" applyFill="1"/>
    <xf numFmtId="0" fontId="2" fillId="3" borderId="1" xfId="0" applyFont="1" applyFill="1" applyBorder="1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/>
    <xf numFmtId="3" fontId="0" fillId="0" borderId="0" xfId="0" applyNumberFormat="1"/>
    <xf numFmtId="9" fontId="0" fillId="2" borderId="0" xfId="2" applyFont="1" applyFill="1" applyBorder="1" applyAlignment="1" applyProtection="1">
      <alignment horizontal="center"/>
    </xf>
    <xf numFmtId="9" fontId="7" fillId="2" borderId="0" xfId="2" applyFont="1" applyFill="1" applyBorder="1" applyAlignment="1" applyProtection="1">
      <alignment horizontal="center"/>
    </xf>
    <xf numFmtId="9" fontId="6" fillId="2" borderId="0" xfId="2" applyFont="1" applyFill="1" applyBorder="1" applyAlignment="1" applyProtection="1">
      <alignment horizontal="center"/>
    </xf>
    <xf numFmtId="164" fontId="6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/>
    <xf numFmtId="9" fontId="8" fillId="5" borderId="0" xfId="2" applyFont="1" applyFill="1" applyBorder="1" applyAlignment="1">
      <alignment horizontal="center"/>
    </xf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/>
    <xf numFmtId="164" fontId="8" fillId="6" borderId="0" xfId="0" applyNumberFormat="1" applyFont="1" applyFill="1"/>
    <xf numFmtId="9" fontId="0" fillId="0" borderId="0" xfId="2" applyFont="1"/>
    <xf numFmtId="9" fontId="8" fillId="0" borderId="0" xfId="2" applyFont="1"/>
    <xf numFmtId="9" fontId="4" fillId="0" borderId="0" xfId="2" applyFont="1"/>
    <xf numFmtId="165" fontId="0" fillId="0" borderId="0" xfId="0" applyNumberFormat="1"/>
    <xf numFmtId="0" fontId="0" fillId="7" borderId="0" xfId="0" applyFill="1" applyAlignment="1">
      <alignment horizontal="center"/>
    </xf>
    <xf numFmtId="165" fontId="8" fillId="0" borderId="0" xfId="0" applyNumberFormat="1" applyFont="1"/>
    <xf numFmtId="165" fontId="4" fillId="0" borderId="0" xfId="0" applyNumberFormat="1" applyFont="1"/>
    <xf numFmtId="164" fontId="2" fillId="0" borderId="0" xfId="0" applyNumberFormat="1" applyFont="1"/>
    <xf numFmtId="0" fontId="2" fillId="0" borderId="0" xfId="0" applyFont="1"/>
    <xf numFmtId="9" fontId="2" fillId="0" borderId="0" xfId="2" applyFont="1"/>
    <xf numFmtId="43" fontId="0" fillId="0" borderId="0" xfId="0" applyNumberFormat="1"/>
    <xf numFmtId="43" fontId="0" fillId="0" borderId="0" xfId="2" applyNumberFormat="1" applyFont="1"/>
    <xf numFmtId="9" fontId="9" fillId="0" borderId="0" xfId="2" applyFont="1"/>
    <xf numFmtId="9" fontId="10" fillId="0" borderId="0" xfId="2" applyFont="1"/>
    <xf numFmtId="9" fontId="9" fillId="0" borderId="0" xfId="0" applyNumberFormat="1" applyFont="1"/>
    <xf numFmtId="0" fontId="9" fillId="0" borderId="0" xfId="0" applyFont="1"/>
    <xf numFmtId="0" fontId="2" fillId="7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9" fontId="4" fillId="0" borderId="0" xfId="2" applyFont="1" applyAlignment="1">
      <alignment horizontal="center"/>
    </xf>
    <xf numFmtId="9" fontId="8" fillId="0" borderId="0" xfId="2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9" fontId="4" fillId="2" borderId="0" xfId="2" applyFont="1" applyFill="1" applyBorder="1" applyAlignment="1" applyProtection="1">
      <alignment horizontal="center"/>
    </xf>
    <xf numFmtId="164" fontId="7" fillId="0" borderId="0" xfId="0" applyNumberFormat="1" applyFont="1"/>
    <xf numFmtId="0" fontId="6" fillId="0" borderId="0" xfId="0" applyFont="1"/>
  </cellXfs>
  <cellStyles count="8">
    <cellStyle name="Comma" xfId="1" builtinId="3"/>
    <cellStyle name="Comma 11" xfId="7" xr:uid="{015FD1B9-6EFF-4B7B-931C-6D6F3DC9EC7E}"/>
    <cellStyle name="Comma 2" xfId="4" xr:uid="{EB301AE2-777C-4BF2-AA86-681492D173BD}"/>
    <cellStyle name="Comma 2 2" xfId="6" xr:uid="{06CA24FF-70C9-4459-9741-3AB861F9CF41}"/>
    <cellStyle name="Comma 3" xfId="3" xr:uid="{4B7C7DC1-2D9D-42E1-9FEF-119E41FF47F8}"/>
    <cellStyle name="Comma 4" xfId="5" xr:uid="{B15B8F55-4B0D-41DE-A736-18891CDC18DB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9816-4200-45E1-870B-CED01CABB8CE}">
  <dimension ref="A1:AL59"/>
  <sheetViews>
    <sheetView tabSelected="1" topLeftCell="W14" zoomScale="96" zoomScaleNormal="96" workbookViewId="0">
      <selection activeCell="Z19" sqref="Z19"/>
    </sheetView>
  </sheetViews>
  <sheetFormatPr defaultRowHeight="15" outlineLevelCol="1" x14ac:dyDescent="0.25"/>
  <cols>
    <col min="1" max="1" width="36" bestFit="1" customWidth="1"/>
    <col min="2" max="3" width="16.140625" hidden="1" customWidth="1" outlineLevel="1"/>
    <col min="4" max="4" width="16" hidden="1" customWidth="1" outlineLevel="1"/>
    <col min="5" max="6" width="16.140625" hidden="1" customWidth="1" outlineLevel="1"/>
    <col min="7" max="8" width="16" hidden="1" customWidth="1" outlineLevel="1"/>
    <col min="9" max="10" width="14.85546875" hidden="1" customWidth="1" outlineLevel="1"/>
    <col min="11" max="11" width="15.5703125" hidden="1" customWidth="1" outlineLevel="1"/>
    <col min="12" max="12" width="16" hidden="1" customWidth="1" outlineLevel="1"/>
    <col min="13" max="13" width="15.5703125" hidden="1" customWidth="1" outlineLevel="1"/>
    <col min="14" max="14" width="16.7109375" bestFit="1" customWidth="1" collapsed="1"/>
    <col min="15" max="15" width="17" bestFit="1" customWidth="1"/>
    <col min="16" max="16" width="18.5703125" bestFit="1" customWidth="1"/>
    <col min="17" max="17" width="17.28515625" bestFit="1" customWidth="1"/>
    <col min="18" max="18" width="18.28515625" bestFit="1" customWidth="1"/>
    <col min="19" max="20" width="17.28515625" bestFit="1" customWidth="1"/>
    <col min="21" max="21" width="16.5703125" bestFit="1" customWidth="1"/>
    <col min="22" max="22" width="18" bestFit="1" customWidth="1"/>
    <col min="23" max="23" width="17.85546875" bestFit="1" customWidth="1"/>
    <col min="24" max="24" width="18.28515625" bestFit="1" customWidth="1"/>
    <col min="25" max="25" width="17.28515625" bestFit="1" customWidth="1"/>
    <col min="26" max="26" width="18.28515625" bestFit="1" customWidth="1"/>
    <col min="27" max="27" width="13" bestFit="1" customWidth="1"/>
    <col min="28" max="28" width="12.140625" bestFit="1" customWidth="1"/>
    <col min="29" max="29" width="16.5703125" bestFit="1" customWidth="1"/>
    <col min="30" max="30" width="21.85546875" bestFit="1" customWidth="1"/>
    <col min="31" max="31" width="26.5703125" bestFit="1" customWidth="1"/>
    <col min="32" max="32" width="8.7109375" hidden="1" customWidth="1"/>
    <col min="33" max="33" width="21.5703125" bestFit="1" customWidth="1"/>
    <col min="34" max="34" width="29.5703125" bestFit="1" customWidth="1"/>
    <col min="35" max="36" width="17.5703125" bestFit="1" customWidth="1"/>
    <col min="37" max="37" width="13.85546875" bestFit="1" customWidth="1"/>
    <col min="38" max="38" width="15.5703125" bestFit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  <c r="AD2" s="2"/>
      <c r="AE2" s="2"/>
    </row>
    <row r="3" spans="1:31" ht="38.65" customHeight="1" x14ac:dyDescent="0.25">
      <c r="A3" s="12" t="s">
        <v>2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</v>
      </c>
      <c r="O3" s="12">
        <v>2</v>
      </c>
      <c r="P3" s="12">
        <v>3</v>
      </c>
      <c r="Q3" s="12">
        <v>4</v>
      </c>
      <c r="R3" s="12">
        <v>5</v>
      </c>
      <c r="S3" s="12">
        <v>6</v>
      </c>
      <c r="T3" s="12">
        <v>7</v>
      </c>
      <c r="U3" s="12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  <c r="AD3" s="4" t="s">
        <v>6</v>
      </c>
      <c r="AE3" s="5" t="s">
        <v>7</v>
      </c>
    </row>
    <row r="4" spans="1:31" x14ac:dyDescent="0.25">
      <c r="A4" s="13" t="s">
        <v>8</v>
      </c>
      <c r="B4" s="6">
        <v>14731808.991071438</v>
      </c>
      <c r="C4" s="6">
        <v>7930283.1874999879</v>
      </c>
      <c r="D4" s="6">
        <v>12173593.767857144</v>
      </c>
      <c r="E4" s="6">
        <v>9453266.6966910921</v>
      </c>
      <c r="F4" s="6">
        <v>10080758.789955378</v>
      </c>
      <c r="G4" s="6">
        <v>9352800.4553570598</v>
      </c>
      <c r="H4" s="6">
        <v>13290607.620535675</v>
      </c>
      <c r="I4" s="6">
        <v>10738207.82142858</v>
      </c>
      <c r="J4" s="6">
        <v>9417265.7678571902</v>
      </c>
      <c r="K4" s="6">
        <v>10484406.730357282</v>
      </c>
      <c r="L4" s="6">
        <v>6422543.7053570785</v>
      </c>
      <c r="M4" s="6">
        <v>5500869.1339285709</v>
      </c>
      <c r="N4" s="6">
        <v>10464339.589285692</v>
      </c>
      <c r="O4" s="6">
        <v>9660499.2392857336</v>
      </c>
      <c r="P4" s="6">
        <v>11887565.334786076</v>
      </c>
      <c r="Q4" s="6">
        <v>7088053.0982142575</v>
      </c>
      <c r="R4" s="6">
        <v>13321204.312500287</v>
      </c>
      <c r="S4" s="6">
        <v>9604335.9642858077</v>
      </c>
      <c r="T4" s="6">
        <v>9500412.3750000261</v>
      </c>
      <c r="U4" s="6">
        <v>6809310.0803571213</v>
      </c>
      <c r="V4" s="6">
        <v>11501119.125000352</v>
      </c>
      <c r="W4" s="6">
        <v>9826792.4642856773</v>
      </c>
      <c r="X4" s="6">
        <v>11533085.258928671</v>
      </c>
      <c r="Y4" s="6">
        <v>7466709.946428515</v>
      </c>
      <c r="Z4" s="16">
        <v>7756950.8839285597</v>
      </c>
      <c r="AA4" s="6">
        <f>SUM(U4:Z4)/6</f>
        <v>9148994.6264881492</v>
      </c>
      <c r="AB4" s="51">
        <f>Y4/AA4-1</f>
        <v>-0.18387645295900457</v>
      </c>
      <c r="AC4" s="21">
        <f>Z4-AA4</f>
        <v>-1392043.7425595894</v>
      </c>
      <c r="AD4" s="8">
        <f>AC4/AB4-1</f>
        <v>7570537.3705109153</v>
      </c>
      <c r="AE4" s="9">
        <f>AC4-AB4</f>
        <v>-1392043.5586831365</v>
      </c>
    </row>
    <row r="5" spans="1:31" x14ac:dyDescent="0.25">
      <c r="A5" s="13" t="s">
        <v>9</v>
      </c>
      <c r="B5" s="6">
        <v>4794003.6785714198</v>
      </c>
      <c r="C5" s="6">
        <v>5308267.4196428414</v>
      </c>
      <c r="D5" s="6">
        <v>5549825.4285714179</v>
      </c>
      <c r="E5" s="6">
        <v>8038442.8389285542</v>
      </c>
      <c r="F5" s="6">
        <v>5536347.6651785597</v>
      </c>
      <c r="G5" s="6">
        <v>4418126.1249999935</v>
      </c>
      <c r="H5" s="6">
        <v>5122049.615624981</v>
      </c>
      <c r="I5" s="6">
        <v>6837734.3124999916</v>
      </c>
      <c r="J5" s="6">
        <v>6025190.9017857201</v>
      </c>
      <c r="K5" s="6">
        <v>5539301.4260714315</v>
      </c>
      <c r="L5" s="6">
        <v>5336996.0892857704</v>
      </c>
      <c r="M5" s="6">
        <v>4139057.2857142859</v>
      </c>
      <c r="N5" s="6">
        <v>5380651.1785714263</v>
      </c>
      <c r="O5" s="6">
        <v>7916544.7224999852</v>
      </c>
      <c r="P5" s="6">
        <v>7169458.2683571344</v>
      </c>
      <c r="Q5" s="6">
        <v>4775187.1517857229</v>
      </c>
      <c r="R5" s="6">
        <v>6790041.5535714077</v>
      </c>
      <c r="S5" s="6">
        <v>4671520.6696428759</v>
      </c>
      <c r="T5" s="6">
        <v>6447976.6964285541</v>
      </c>
      <c r="U5" s="6">
        <v>5199064.4464285988</v>
      </c>
      <c r="V5" s="6">
        <v>7939154.535714264</v>
      </c>
      <c r="W5" s="6">
        <v>7367594.4375000149</v>
      </c>
      <c r="X5" s="6">
        <v>6704272.7946428806</v>
      </c>
      <c r="Y5" s="6">
        <v>3379106.8571428885</v>
      </c>
      <c r="Z5" s="16">
        <v>7608536.1964285523</v>
      </c>
      <c r="AA5" s="6">
        <f t="shared" ref="AA5:AA28" si="0">SUM(U5:Z5)/6</f>
        <v>6366288.2113095326</v>
      </c>
      <c r="AB5" s="51">
        <f t="shared" ref="AB5:AB28" si="1">Y5/AA5-1</f>
        <v>-0.46921868049580295</v>
      </c>
      <c r="AC5" s="21">
        <f t="shared" ref="AC5:AC28" si="2">Z5-AA5</f>
        <v>1242247.9851190196</v>
      </c>
      <c r="AD5" s="8">
        <f t="shared" ref="AD5:AD28" si="3">AC5/AB5-1</f>
        <v>-2647482.9455320709</v>
      </c>
      <c r="AE5" s="9">
        <f>AC5-AB5</f>
        <v>1242248.4543377</v>
      </c>
    </row>
    <row r="6" spans="1:31" x14ac:dyDescent="0.25">
      <c r="A6" s="13" t="s">
        <v>10</v>
      </c>
      <c r="B6" s="6">
        <v>5517215.7946428573</v>
      </c>
      <c r="C6" s="6">
        <v>3725889.4803571403</v>
      </c>
      <c r="D6" s="6">
        <v>4305202.1162499944</v>
      </c>
      <c r="E6" s="6">
        <v>5438447.1650983589</v>
      </c>
      <c r="F6" s="6">
        <v>4134928.2877232055</v>
      </c>
      <c r="G6" s="6">
        <v>4134715.5239285668</v>
      </c>
      <c r="H6" s="6">
        <v>3899598.4132142831</v>
      </c>
      <c r="I6" s="6">
        <v>6931329.6071428582</v>
      </c>
      <c r="J6" s="6">
        <v>5328519.3749999162</v>
      </c>
      <c r="K6" s="6">
        <v>5034901.0432142438</v>
      </c>
      <c r="L6" s="6">
        <v>4733988.598214332</v>
      </c>
      <c r="M6" s="6">
        <v>4405565.5892857164</v>
      </c>
      <c r="N6" s="6">
        <v>6832482.8482142212</v>
      </c>
      <c r="O6" s="6">
        <v>5018955.7732142899</v>
      </c>
      <c r="P6" s="6">
        <v>3904815.6789285718</v>
      </c>
      <c r="Q6" s="6">
        <v>5159972.6517857248</v>
      </c>
      <c r="R6" s="6">
        <v>4281564.0892857378</v>
      </c>
      <c r="S6" s="6">
        <v>7612125.6875000102</v>
      </c>
      <c r="T6" s="6">
        <v>6462876.1964286063</v>
      </c>
      <c r="U6" s="6">
        <v>4702239.5535714347</v>
      </c>
      <c r="V6" s="6">
        <v>7815077.5892857201</v>
      </c>
      <c r="W6" s="6">
        <v>5851020.6517857378</v>
      </c>
      <c r="X6" s="6">
        <v>6232687.8660714477</v>
      </c>
      <c r="Y6" s="6">
        <v>5239803.2142857313</v>
      </c>
      <c r="Z6" s="16">
        <v>5893640.0892857127</v>
      </c>
      <c r="AA6" s="6">
        <f t="shared" si="0"/>
        <v>5955744.8273809636</v>
      </c>
      <c r="AB6" s="51">
        <f t="shared" si="1"/>
        <v>-0.12021025645755667</v>
      </c>
      <c r="AC6" s="21">
        <f t="shared" si="2"/>
        <v>-62104.738095250912</v>
      </c>
      <c r="AD6" s="8">
        <f t="shared" si="3"/>
        <v>516633.27003151423</v>
      </c>
      <c r="AE6" s="9">
        <f t="shared" ref="AE6:AE28" si="4">AC6-AB6</f>
        <v>-62104.617884994455</v>
      </c>
    </row>
    <row r="7" spans="1:31" x14ac:dyDescent="0.25">
      <c r="A7" s="13" t="s">
        <v>11</v>
      </c>
      <c r="B7" s="6">
        <v>7164186.6071428554</v>
      </c>
      <c r="C7" s="6">
        <v>7017912.4642857155</v>
      </c>
      <c r="D7" s="6">
        <v>4880264.9442857187</v>
      </c>
      <c r="E7" s="6">
        <v>8802512.5037131682</v>
      </c>
      <c r="F7" s="6">
        <v>6180039.2857142882</v>
      </c>
      <c r="G7" s="6">
        <v>5701317.5446428573</v>
      </c>
      <c r="H7" s="6">
        <v>7517097.8571428759</v>
      </c>
      <c r="I7" s="6">
        <v>10645758.928571437</v>
      </c>
      <c r="J7" s="6">
        <v>7265696.4285713453</v>
      </c>
      <c r="K7" s="6">
        <v>10305162.862857185</v>
      </c>
      <c r="L7" s="6">
        <v>6117723.9732142342</v>
      </c>
      <c r="M7" s="6">
        <v>7676189.9285714254</v>
      </c>
      <c r="N7" s="6">
        <v>9726005.0000000484</v>
      </c>
      <c r="O7" s="6">
        <v>7264625.9142858181</v>
      </c>
      <c r="P7" s="6">
        <v>13147099.67057154</v>
      </c>
      <c r="Q7" s="6">
        <v>6512238.3571428442</v>
      </c>
      <c r="R7" s="6">
        <v>9230926.6071428899</v>
      </c>
      <c r="S7" s="6">
        <v>8977076.1428571604</v>
      </c>
      <c r="T7" s="6">
        <v>8182845.196428624</v>
      </c>
      <c r="U7" s="6">
        <v>9904503.8928572033</v>
      </c>
      <c r="V7" s="6">
        <v>9608680.5714286007</v>
      </c>
      <c r="W7" s="6">
        <v>9956454.8035714366</v>
      </c>
      <c r="X7" s="6">
        <v>9556640.9374999981</v>
      </c>
      <c r="Y7" s="6">
        <v>7050147.7410714906</v>
      </c>
      <c r="Z7" s="16">
        <v>13191352.196428558</v>
      </c>
      <c r="AA7" s="6">
        <f t="shared" si="0"/>
        <v>9877963.3571428824</v>
      </c>
      <c r="AB7" s="51">
        <f t="shared" si="1"/>
        <v>-0.28627516764643213</v>
      </c>
      <c r="AC7" s="21">
        <f t="shared" si="2"/>
        <v>3313388.8392856754</v>
      </c>
      <c r="AD7" s="8">
        <f t="shared" si="3"/>
        <v>-11574140.896681221</v>
      </c>
      <c r="AE7" s="9">
        <f t="shared" si="4"/>
        <v>3313389.1255608429</v>
      </c>
    </row>
    <row r="8" spans="1:31" x14ac:dyDescent="0.25">
      <c r="A8" s="13" t="s">
        <v>12</v>
      </c>
      <c r="B8" s="6">
        <v>3203508.6874999967</v>
      </c>
      <c r="C8" s="6">
        <v>2973069.4642857024</v>
      </c>
      <c r="D8" s="6">
        <v>3053838.4374999963</v>
      </c>
      <c r="E8" s="6">
        <v>2903954.4410671438</v>
      </c>
      <c r="F8" s="6">
        <v>3539891.0848214156</v>
      </c>
      <c r="G8" s="6">
        <v>1768446.6785714268</v>
      </c>
      <c r="H8" s="6">
        <v>3423268.8105356945</v>
      </c>
      <c r="I8" s="6">
        <v>3846724.4375</v>
      </c>
      <c r="J8" s="6">
        <v>3121685.3839285751</v>
      </c>
      <c r="K8" s="6">
        <v>2644979.2703571483</v>
      </c>
      <c r="L8" s="6">
        <v>3470964.8392857253</v>
      </c>
      <c r="M8" s="6">
        <v>2829284.2410714272</v>
      </c>
      <c r="N8" s="6">
        <v>2833879.0446428615</v>
      </c>
      <c r="O8" s="6">
        <v>4755899.0775000304</v>
      </c>
      <c r="P8" s="6">
        <v>2957299.2728571743</v>
      </c>
      <c r="Q8" s="6">
        <v>2638380.4553571446</v>
      </c>
      <c r="R8" s="6">
        <v>2748157.4285714263</v>
      </c>
      <c r="S8" s="6">
        <v>2268456.8035714407</v>
      </c>
      <c r="T8" s="6">
        <v>3452767.1875000116</v>
      </c>
      <c r="U8" s="6">
        <v>3143483.1071428582</v>
      </c>
      <c r="V8" s="6">
        <v>3889735.3214285742</v>
      </c>
      <c r="W8" s="6">
        <v>3837061.9732142901</v>
      </c>
      <c r="X8" s="6">
        <v>3191430.4642857104</v>
      </c>
      <c r="Y8" s="6">
        <v>2086277.1607142822</v>
      </c>
      <c r="Z8" s="16">
        <v>3241390.2053571478</v>
      </c>
      <c r="AA8" s="6">
        <f t="shared" si="0"/>
        <v>3231563.0386904776</v>
      </c>
      <c r="AB8" s="51">
        <f t="shared" si="1"/>
        <v>-0.3544061694802334</v>
      </c>
      <c r="AC8" s="21">
        <f t="shared" si="2"/>
        <v>9827.1666666702367</v>
      </c>
      <c r="AD8" s="8">
        <f t="shared" si="3"/>
        <v>-27729.542878027794</v>
      </c>
      <c r="AE8" s="9">
        <f t="shared" si="4"/>
        <v>9827.5210728397178</v>
      </c>
    </row>
    <row r="9" spans="1:31" x14ac:dyDescent="0.25">
      <c r="A9" s="13" t="s">
        <v>13</v>
      </c>
      <c r="B9" s="6">
        <v>4102270.0803571455</v>
      </c>
      <c r="C9" s="6">
        <v>3018903.0267857201</v>
      </c>
      <c r="D9" s="6">
        <v>1916137.5107142862</v>
      </c>
      <c r="E9" s="6">
        <v>3546006.1142102997</v>
      </c>
      <c r="F9" s="6">
        <v>2463127.4303571568</v>
      </c>
      <c r="G9" s="6">
        <v>2457285.0289285802</v>
      </c>
      <c r="H9" s="6">
        <v>2716789.2553571528</v>
      </c>
      <c r="I9" s="6">
        <v>4742985.9553571446</v>
      </c>
      <c r="J9" s="6">
        <v>2874408.9732142449</v>
      </c>
      <c r="K9" s="6">
        <v>3280122.6203571223</v>
      </c>
      <c r="L9" s="6">
        <v>2476915.4732142868</v>
      </c>
      <c r="M9" s="6">
        <v>1857356.3125</v>
      </c>
      <c r="N9" s="6">
        <v>1945655.0892857104</v>
      </c>
      <c r="O9" s="6">
        <v>3054048.5878571146</v>
      </c>
      <c r="P9" s="6">
        <v>2376550.342214263</v>
      </c>
      <c r="Q9" s="6">
        <v>1429411.3482142854</v>
      </c>
      <c r="R9" s="6">
        <v>2560045.8392857146</v>
      </c>
      <c r="S9" s="6">
        <v>2387111.3749999967</v>
      </c>
      <c r="T9" s="6">
        <v>3785339.9999999953</v>
      </c>
      <c r="U9" s="6">
        <v>2352449.205357139</v>
      </c>
      <c r="V9" s="6">
        <v>3176180.1964285397</v>
      </c>
      <c r="W9" s="6">
        <v>3407842.8124999856</v>
      </c>
      <c r="X9" s="6">
        <v>2805171.5803571288</v>
      </c>
      <c r="Y9" s="6">
        <v>1469986.5803571427</v>
      </c>
      <c r="Z9" s="16">
        <v>3311435.4910714305</v>
      </c>
      <c r="AA9" s="6">
        <f t="shared" si="0"/>
        <v>2753844.3110118946</v>
      </c>
      <c r="AB9" s="51">
        <f t="shared" si="1"/>
        <v>-0.46620563316558772</v>
      </c>
      <c r="AC9" s="21">
        <f t="shared" si="2"/>
        <v>557591.18005953589</v>
      </c>
      <c r="AD9" s="8">
        <f t="shared" si="3"/>
        <v>-1196020.8255723128</v>
      </c>
      <c r="AE9" s="9">
        <f t="shared" si="4"/>
        <v>557591.64626516902</v>
      </c>
    </row>
    <row r="10" spans="1:31" x14ac:dyDescent="0.25">
      <c r="A10" s="13" t="s">
        <v>14</v>
      </c>
      <c r="B10" s="6">
        <v>717371.9642857142</v>
      </c>
      <c r="C10" s="6">
        <v>943515.71428571455</v>
      </c>
      <c r="D10" s="6">
        <v>955773.21428571455</v>
      </c>
      <c r="E10" s="6">
        <v>1530108.2228564287</v>
      </c>
      <c r="F10" s="6">
        <v>1232528.7500000002</v>
      </c>
      <c r="G10" s="6">
        <v>1561051.4285714286</v>
      </c>
      <c r="H10" s="6">
        <v>1219413.3928571425</v>
      </c>
      <c r="I10" s="6">
        <v>2145496.4285714286</v>
      </c>
      <c r="J10" s="6">
        <v>1672503.9285714333</v>
      </c>
      <c r="K10" s="6">
        <v>2100806.9657142861</v>
      </c>
      <c r="L10" s="6">
        <v>1503931.9642857115</v>
      </c>
      <c r="M10" s="6">
        <v>2233716.75</v>
      </c>
      <c r="N10" s="6">
        <v>2094806.7857142903</v>
      </c>
      <c r="O10" s="6">
        <v>1197328.1771428573</v>
      </c>
      <c r="P10" s="6">
        <v>2714134.5267857136</v>
      </c>
      <c r="Q10" s="6">
        <v>1607296.419642857</v>
      </c>
      <c r="R10" s="6">
        <v>2293762.4464285704</v>
      </c>
      <c r="S10" s="6">
        <v>2222791.0000000005</v>
      </c>
      <c r="T10" s="6">
        <v>2317836.7410714282</v>
      </c>
      <c r="U10" s="6">
        <v>2021153.8928571425</v>
      </c>
      <c r="V10" s="6">
        <v>2389220.8035714282</v>
      </c>
      <c r="W10" s="6">
        <v>5227587.3303571446</v>
      </c>
      <c r="X10" s="6">
        <v>1953395.2857142854</v>
      </c>
      <c r="Y10" s="6">
        <v>1056928.5892857141</v>
      </c>
      <c r="Z10" s="16">
        <v>3354322.2857142854</v>
      </c>
      <c r="AA10" s="6">
        <f t="shared" si="0"/>
        <v>2667101.3645833335</v>
      </c>
      <c r="AB10" s="51">
        <f t="shared" si="1"/>
        <v>-0.60371637789220944</v>
      </c>
      <c r="AC10" s="21">
        <f t="shared" si="2"/>
        <v>687220.92113095196</v>
      </c>
      <c r="AD10" s="8">
        <f t="shared" si="3"/>
        <v>-1138318.5052005162</v>
      </c>
      <c r="AE10" s="9">
        <f t="shared" si="4"/>
        <v>687221.52484732983</v>
      </c>
    </row>
    <row r="11" spans="1:31" x14ac:dyDescent="0.25">
      <c r="A11" s="13" t="s">
        <v>15</v>
      </c>
      <c r="B11" s="6">
        <v>1916996.1517857194</v>
      </c>
      <c r="C11" s="6">
        <v>1542629.1785714284</v>
      </c>
      <c r="D11" s="6">
        <v>673500.35714285704</v>
      </c>
      <c r="E11" s="6">
        <v>1947539.6209818507</v>
      </c>
      <c r="F11" s="6">
        <v>1422651.0553571426</v>
      </c>
      <c r="G11" s="6">
        <v>1265808.1410714285</v>
      </c>
      <c r="H11" s="6">
        <v>1732161.4171428541</v>
      </c>
      <c r="I11" s="6">
        <v>1835899.2767857127</v>
      </c>
      <c r="J11" s="6">
        <v>1578710.2678571576</v>
      </c>
      <c r="K11" s="6">
        <v>1309852.0446428647</v>
      </c>
      <c r="L11" s="6">
        <v>1238614.8392857071</v>
      </c>
      <c r="M11" s="6">
        <v>1606012.8035714284</v>
      </c>
      <c r="N11" s="6">
        <v>1905277.8125000128</v>
      </c>
      <c r="O11" s="6">
        <v>1736494.0678571479</v>
      </c>
      <c r="P11" s="6">
        <v>1073299.266071429</v>
      </c>
      <c r="Q11" s="6">
        <v>1355351.8035714361</v>
      </c>
      <c r="R11" s="6">
        <v>1907525.7321428789</v>
      </c>
      <c r="S11" s="6">
        <v>1419008.5000000009</v>
      </c>
      <c r="T11" s="6">
        <v>1517481.1517857239</v>
      </c>
      <c r="U11" s="6">
        <v>1278653.5267857115</v>
      </c>
      <c r="V11" s="6">
        <v>1404754.7321428696</v>
      </c>
      <c r="W11" s="6">
        <v>1506769.0982142892</v>
      </c>
      <c r="X11" s="6">
        <v>1618753.1964285739</v>
      </c>
      <c r="Y11" s="6">
        <v>1339317.2857142873</v>
      </c>
      <c r="Z11" s="16">
        <v>1443633.0089285714</v>
      </c>
      <c r="AA11" s="6">
        <f t="shared" si="0"/>
        <v>1431980.1413690504</v>
      </c>
      <c r="AB11" s="51">
        <f t="shared" si="1"/>
        <v>-6.4709595460012759E-2</v>
      </c>
      <c r="AC11" s="21">
        <f t="shared" si="2"/>
        <v>11652.867559520993</v>
      </c>
      <c r="AD11" s="8">
        <f t="shared" si="3"/>
        <v>-180080.43762717344</v>
      </c>
      <c r="AE11" s="9">
        <f t="shared" si="4"/>
        <v>11652.932269116453</v>
      </c>
    </row>
    <row r="12" spans="1:31" x14ac:dyDescent="0.25">
      <c r="A12" s="13" t="s">
        <v>16</v>
      </c>
      <c r="B12" s="6">
        <v>879830.14285714296</v>
      </c>
      <c r="C12" s="6">
        <v>769968.33035714272</v>
      </c>
      <c r="D12" s="6">
        <v>356444.1875</v>
      </c>
      <c r="E12" s="6">
        <v>1199849.8628617139</v>
      </c>
      <c r="F12" s="6">
        <v>520680.76428571431</v>
      </c>
      <c r="G12" s="6">
        <v>649612.87499999988</v>
      </c>
      <c r="H12" s="6">
        <v>715893.4460714286</v>
      </c>
      <c r="I12" s="6">
        <v>1138645.7857142854</v>
      </c>
      <c r="J12" s="6">
        <v>852328.52678570885</v>
      </c>
      <c r="K12" s="6">
        <v>469057.30964285665</v>
      </c>
      <c r="L12" s="6">
        <v>538646.86607142584</v>
      </c>
      <c r="M12" s="6">
        <v>776695.42857142829</v>
      </c>
      <c r="N12" s="6">
        <v>840851.74999999953</v>
      </c>
      <c r="O12" s="6">
        <v>800690.33071428561</v>
      </c>
      <c r="P12" s="6">
        <v>587936.47685714182</v>
      </c>
      <c r="Q12" s="6">
        <v>822106.96428571257</v>
      </c>
      <c r="R12" s="6">
        <v>1033943.5535714235</v>
      </c>
      <c r="S12" s="6">
        <v>213339.28571428568</v>
      </c>
      <c r="T12" s="6">
        <v>829843.7142857078</v>
      </c>
      <c r="U12" s="6">
        <v>723255.14285714109</v>
      </c>
      <c r="V12" s="6">
        <v>858156.35714285262</v>
      </c>
      <c r="W12" s="6">
        <v>953233.27678571292</v>
      </c>
      <c r="X12" s="6">
        <v>812018.02678571199</v>
      </c>
      <c r="Y12" s="6">
        <v>560448.91071428405</v>
      </c>
      <c r="Z12" s="16">
        <v>1077388.3571428563</v>
      </c>
      <c r="AA12" s="6">
        <f t="shared" si="0"/>
        <v>830750.01190475991</v>
      </c>
      <c r="AB12" s="51">
        <f t="shared" si="1"/>
        <v>-0.32536996366779969</v>
      </c>
      <c r="AC12" s="21">
        <f t="shared" si="2"/>
        <v>246638.34523809643</v>
      </c>
      <c r="AD12" s="8">
        <f t="shared" si="3"/>
        <v>-758025.3193250387</v>
      </c>
      <c r="AE12" s="9">
        <f t="shared" si="4"/>
        <v>246638.67060806009</v>
      </c>
    </row>
    <row r="13" spans="1:31" x14ac:dyDescent="0.25">
      <c r="A13" s="13" t="s">
        <v>17</v>
      </c>
      <c r="B13" s="6">
        <v>2837370.535714285</v>
      </c>
      <c r="C13" s="6">
        <v>292949.99999999983</v>
      </c>
      <c r="D13" s="6">
        <v>192295.17857142858</v>
      </c>
      <c r="E13" s="6">
        <v>1237146.0161432861</v>
      </c>
      <c r="F13" s="6">
        <v>209994.64285714284</v>
      </c>
      <c r="G13" s="6">
        <v>250221.42857142852</v>
      </c>
      <c r="H13" s="6">
        <v>123956.24999999999</v>
      </c>
      <c r="I13" s="6">
        <v>220653.57142857142</v>
      </c>
      <c r="J13" s="6">
        <v>363070.44642857148</v>
      </c>
      <c r="K13" s="6">
        <v>440216.24571428582</v>
      </c>
      <c r="L13" s="6">
        <v>269205.00000000006</v>
      </c>
      <c r="M13" s="6">
        <v>-13673.535714285725</v>
      </c>
      <c r="N13" s="6">
        <v>260461.69642857142</v>
      </c>
      <c r="O13" s="6">
        <v>65690.974999999977</v>
      </c>
      <c r="P13" s="6">
        <v>-294473.66057142866</v>
      </c>
      <c r="Q13" s="6">
        <v>-95799.10714285713</v>
      </c>
      <c r="R13" s="6">
        <v>89874.999999999985</v>
      </c>
      <c r="S13" s="6">
        <v>1640660.7142857146</v>
      </c>
      <c r="T13" s="6">
        <v>230382.10714285716</v>
      </c>
      <c r="U13" s="6">
        <v>156219.99999999997</v>
      </c>
      <c r="V13" s="6">
        <v>56534.624999999971</v>
      </c>
      <c r="W13" s="6">
        <v>301839.91071428591</v>
      </c>
      <c r="X13" s="6">
        <v>418357.14285713801</v>
      </c>
      <c r="Y13" s="6">
        <v>66848.125000000116</v>
      </c>
      <c r="Z13" s="16">
        <v>197752.01785714284</v>
      </c>
      <c r="AA13" s="6">
        <f t="shared" si="0"/>
        <v>199591.97023809445</v>
      </c>
      <c r="AB13" s="51">
        <f t="shared" si="1"/>
        <v>-0.66507608036407184</v>
      </c>
      <c r="AC13" s="21">
        <f t="shared" si="2"/>
        <v>-1839.9523809516104</v>
      </c>
      <c r="AD13" s="8">
        <f t="shared" si="3"/>
        <v>2765.5291765483357</v>
      </c>
      <c r="AE13" s="9">
        <f t="shared" si="4"/>
        <v>-1839.2873048712463</v>
      </c>
    </row>
    <row r="14" spans="1:31" x14ac:dyDescent="0.25">
      <c r="A14" s="13" t="s">
        <v>18</v>
      </c>
      <c r="B14" s="6"/>
      <c r="C14" s="6"/>
      <c r="D14" s="6"/>
      <c r="E14" s="6"/>
      <c r="F14" s="6">
        <v>501249.99999999977</v>
      </c>
      <c r="G14" s="6">
        <v>7362084.8214285709</v>
      </c>
      <c r="H14" s="6">
        <v>1212172.3214285716</v>
      </c>
      <c r="I14" s="6">
        <v>461642.85714285687</v>
      </c>
      <c r="J14" s="6">
        <v>433536.60714285681</v>
      </c>
      <c r="K14" s="6">
        <v>395892.85285714275</v>
      </c>
      <c r="L14" s="6">
        <v>344428.57142857136</v>
      </c>
      <c r="M14" s="6">
        <v>195503</v>
      </c>
      <c r="N14" s="6">
        <v>706017.85714285728</v>
      </c>
      <c r="O14" s="6">
        <v>1230839.218571428</v>
      </c>
      <c r="P14" s="6">
        <v>1376821.4725714284</v>
      </c>
      <c r="Q14" s="6">
        <v>1438232.1428571425</v>
      </c>
      <c r="R14" s="6">
        <v>1748892.8571428568</v>
      </c>
      <c r="S14" s="6">
        <v>1578669.7678571523</v>
      </c>
      <c r="T14" s="6">
        <v>417875</v>
      </c>
      <c r="U14" s="6">
        <v>539196.42857142852</v>
      </c>
      <c r="V14" s="6">
        <v>3044107.1428571423</v>
      </c>
      <c r="W14" s="6">
        <v>4897785.7321428936</v>
      </c>
      <c r="X14" s="6">
        <v>1549963.3928571362</v>
      </c>
      <c r="Y14" s="6">
        <v>1707856.2946428363</v>
      </c>
      <c r="Z14" s="16">
        <v>3156625.5000000005</v>
      </c>
      <c r="AA14" s="6">
        <f t="shared" si="0"/>
        <v>2482589.0818452393</v>
      </c>
      <c r="AB14" s="51">
        <f t="shared" si="1"/>
        <v>-0.31206646032075747</v>
      </c>
      <c r="AC14" s="21">
        <f t="shared" si="2"/>
        <v>674036.4181547612</v>
      </c>
      <c r="AD14" s="8">
        <f t="shared" si="3"/>
        <v>-2159914.0437213695</v>
      </c>
      <c r="AE14" s="9">
        <f t="shared" si="4"/>
        <v>674036.73022122157</v>
      </c>
    </row>
    <row r="15" spans="1:31" x14ac:dyDescent="0.25">
      <c r="A15" s="13" t="s">
        <v>19</v>
      </c>
      <c r="B15" s="6">
        <v>1967613.5892857136</v>
      </c>
      <c r="C15" s="6">
        <v>1406917.9285714284</v>
      </c>
      <c r="D15" s="6">
        <v>866872.1607142858</v>
      </c>
      <c r="E15" s="6">
        <v>2053820.0535671427</v>
      </c>
      <c r="F15" s="6">
        <v>1681867.6125</v>
      </c>
      <c r="G15" s="6">
        <v>994895.81160714303</v>
      </c>
      <c r="H15" s="6">
        <v>2721907.8253571359</v>
      </c>
      <c r="I15" s="6">
        <v>1856571.919642857</v>
      </c>
      <c r="J15" s="6">
        <v>2285057.6249999902</v>
      </c>
      <c r="K15" s="6">
        <v>1359578.2110714321</v>
      </c>
      <c r="L15" s="6">
        <v>3087293.0000000172</v>
      </c>
      <c r="M15" s="6">
        <v>1432271.3303571427</v>
      </c>
      <c r="N15" s="6">
        <v>1422388.9017857146</v>
      </c>
      <c r="O15" s="6">
        <v>2023627.5892857178</v>
      </c>
      <c r="P15" s="6">
        <v>2254276.0197857111</v>
      </c>
      <c r="Q15" s="6">
        <v>1342679.151785715</v>
      </c>
      <c r="R15" s="6">
        <v>2200033.9107142901</v>
      </c>
      <c r="S15" s="6">
        <v>120295.98214285664</v>
      </c>
      <c r="T15" s="6">
        <v>2309121.8660714333</v>
      </c>
      <c r="U15" s="6">
        <v>1901166.2678571478</v>
      </c>
      <c r="V15" s="6">
        <v>2296862.3035714296</v>
      </c>
      <c r="W15" s="6">
        <v>2516636.8571428526</v>
      </c>
      <c r="X15" s="6">
        <v>1904764.8303571483</v>
      </c>
      <c r="Y15" s="6">
        <v>1285535.2946428633</v>
      </c>
      <c r="Z15" s="16">
        <v>2808639.9107142803</v>
      </c>
      <c r="AA15" s="6">
        <f t="shared" si="0"/>
        <v>2118934.2440476203</v>
      </c>
      <c r="AB15" s="51">
        <f t="shared" si="1"/>
        <v>-0.39331043506701069</v>
      </c>
      <c r="AC15" s="21">
        <f t="shared" si="2"/>
        <v>689705.66666665999</v>
      </c>
      <c r="AD15" s="8">
        <f t="shared" si="3"/>
        <v>-1753592.0699881397</v>
      </c>
      <c r="AE15" s="9">
        <f t="shared" si="4"/>
        <v>689706.05997709511</v>
      </c>
    </row>
    <row r="16" spans="1:31" x14ac:dyDescent="0.25">
      <c r="A16" s="13" t="s">
        <v>20</v>
      </c>
      <c r="B16" s="6">
        <v>255779.9642857138</v>
      </c>
      <c r="C16" s="6">
        <v>297200.89285714261</v>
      </c>
      <c r="D16" s="6">
        <v>122650.94642857139</v>
      </c>
      <c r="E16" s="6">
        <v>310909.56071414193</v>
      </c>
      <c r="F16" s="6">
        <v>293855.10714285664</v>
      </c>
      <c r="G16" s="6">
        <v>163549.66071428559</v>
      </c>
      <c r="H16" s="6">
        <v>324006.28660714318</v>
      </c>
      <c r="I16" s="6">
        <v>297621.17857142829</v>
      </c>
      <c r="J16" s="6">
        <v>229725.11607142998</v>
      </c>
      <c r="K16" s="6">
        <v>264854.49107143062</v>
      </c>
      <c r="L16" s="6">
        <v>230709.42857142779</v>
      </c>
      <c r="M16" s="6">
        <v>105963.23214285714</v>
      </c>
      <c r="N16" s="6">
        <v>342220.93749999983</v>
      </c>
      <c r="O16" s="6">
        <v>26684.891071428574</v>
      </c>
      <c r="P16" s="6">
        <v>-25647.481571428532</v>
      </c>
      <c r="Q16" s="6">
        <v>1526.7053571428598</v>
      </c>
      <c r="R16" s="6">
        <v>-8551.8125000000036</v>
      </c>
      <c r="S16" s="6">
        <v>284245.9821428571</v>
      </c>
      <c r="T16" s="6">
        <v>299608.9642857163</v>
      </c>
      <c r="U16" s="6">
        <v>56571.410714285514</v>
      </c>
      <c r="V16" s="6">
        <v>471904.12499999616</v>
      </c>
      <c r="W16" s="6">
        <v>523096.09821428533</v>
      </c>
      <c r="X16" s="6">
        <v>101144.17857142841</v>
      </c>
      <c r="Y16" s="6">
        <v>129205.73214285701</v>
      </c>
      <c r="Z16" s="16">
        <v>95208.625</v>
      </c>
      <c r="AA16" s="6">
        <f t="shared" si="0"/>
        <v>229521.69494047543</v>
      </c>
      <c r="AB16" s="51">
        <f t="shared" si="1"/>
        <v>-0.43706527534852224</v>
      </c>
      <c r="AC16" s="21">
        <f t="shared" si="2"/>
        <v>-134313.06994047543</v>
      </c>
      <c r="AD16" s="8">
        <f t="shared" si="3"/>
        <v>307305.65993397031</v>
      </c>
      <c r="AE16" s="9">
        <f t="shared" si="4"/>
        <v>-134312.63287520007</v>
      </c>
    </row>
    <row r="17" spans="1:31" x14ac:dyDescent="0.25">
      <c r="A17" s="13" t="s">
        <v>21</v>
      </c>
      <c r="B17" s="6"/>
      <c r="C17" s="6"/>
      <c r="D17" s="6"/>
      <c r="E17" s="6"/>
      <c r="F17" s="6"/>
      <c r="G17" s="6"/>
      <c r="H17" s="6"/>
      <c r="I17" s="6"/>
      <c r="J17" s="6">
        <v>257500.00000000006</v>
      </c>
      <c r="K17" s="6">
        <v>1448154.4685714287</v>
      </c>
      <c r="L17" s="6">
        <v>507710.71428571432</v>
      </c>
      <c r="M17" s="6">
        <v>568748.71428571409</v>
      </c>
      <c r="N17" s="6">
        <v>242912.94642857142</v>
      </c>
      <c r="O17" s="6">
        <v>253158.91571428571</v>
      </c>
      <c r="P17" s="6">
        <v>154823.33785714285</v>
      </c>
      <c r="Q17" s="6">
        <v>238888.39285714284</v>
      </c>
      <c r="R17" s="6">
        <v>165171.42857142858</v>
      </c>
      <c r="S17" s="6">
        <v>1000000</v>
      </c>
      <c r="T17" s="6">
        <v>279773.43749999994</v>
      </c>
      <c r="U17" s="6">
        <v>353884.82142857142</v>
      </c>
      <c r="V17" s="6">
        <v>217701.56250000006</v>
      </c>
      <c r="W17" s="6">
        <v>341274.41964285716</v>
      </c>
      <c r="X17" s="6">
        <v>662031.69642857148</v>
      </c>
      <c r="Y17" s="6">
        <v>234126.69642857139</v>
      </c>
      <c r="Z17" s="16">
        <v>382261.6071428571</v>
      </c>
      <c r="AA17" s="6">
        <f t="shared" si="0"/>
        <v>365213.46726190479</v>
      </c>
      <c r="AB17" s="51">
        <f t="shared" si="1"/>
        <v>-0.3589319195048396</v>
      </c>
      <c r="AC17" s="21">
        <f t="shared" si="2"/>
        <v>17048.139880952309</v>
      </c>
      <c r="AD17" s="8">
        <f t="shared" si="3"/>
        <v>-47497.862091482064</v>
      </c>
      <c r="AE17" s="9">
        <f t="shared" si="4"/>
        <v>17048.498812871814</v>
      </c>
    </row>
    <row r="18" spans="1:31" x14ac:dyDescent="0.25">
      <c r="A18" s="13" t="s">
        <v>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429999.99999999994</v>
      </c>
      <c r="O18" s="6">
        <v>4300569.1964285709</v>
      </c>
      <c r="P18" s="6">
        <v>255000</v>
      </c>
      <c r="Q18" s="6">
        <v>154999.99999999997</v>
      </c>
      <c r="R18" s="6">
        <v>3200892.8571428568</v>
      </c>
      <c r="S18" s="6"/>
      <c r="T18" s="6">
        <v>779910.7142857142</v>
      </c>
      <c r="U18" s="6">
        <v>124843.74999999999</v>
      </c>
      <c r="V18" s="6">
        <v>-431651.7857142858</v>
      </c>
      <c r="W18" s="6">
        <v>472383.92857142852</v>
      </c>
      <c r="X18" s="6">
        <v>-449651.78571428568</v>
      </c>
      <c r="Y18" s="6">
        <v>42750</v>
      </c>
      <c r="Z18" s="16">
        <v>304848.21428571426</v>
      </c>
      <c r="AA18" s="6">
        <f t="shared" si="0"/>
        <v>10587.053571428551</v>
      </c>
      <c r="AB18" s="51">
        <f t="shared" si="1"/>
        <v>3.0379506641366305</v>
      </c>
      <c r="AC18" s="21">
        <f t="shared" si="2"/>
        <v>294261.16071428568</v>
      </c>
      <c r="AD18" s="8">
        <f t="shared" si="3"/>
        <v>96860.731228249933</v>
      </c>
      <c r="AE18" s="9">
        <f t="shared" si="4"/>
        <v>294258.12276362156</v>
      </c>
    </row>
    <row r="19" spans="1:31" x14ac:dyDescent="0.25">
      <c r="A19" s="13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2118123.2142857141</v>
      </c>
      <c r="V19" s="6">
        <v>120374.99999999999</v>
      </c>
      <c r="W19" s="6">
        <v>146135.3571428571</v>
      </c>
      <c r="X19" s="6">
        <v>214921.07142857139</v>
      </c>
      <c r="Y19" s="6">
        <v>91190.892857142855</v>
      </c>
      <c r="Z19" s="16">
        <v>97446.428571428565</v>
      </c>
      <c r="AA19" s="6">
        <f t="shared" si="0"/>
        <v>464698.66071428568</v>
      </c>
      <c r="AB19" s="51">
        <f t="shared" si="1"/>
        <v>-0.80376338352907273</v>
      </c>
      <c r="AC19" s="21">
        <f t="shared" si="2"/>
        <v>-367252.2321428571</v>
      </c>
      <c r="AD19" s="8"/>
      <c r="AE19" s="9"/>
    </row>
    <row r="20" spans="1:31" hidden="1" x14ac:dyDescent="0.25">
      <c r="A20" s="13" t="s">
        <v>24</v>
      </c>
      <c r="B20" s="6">
        <v>118976.6730357143</v>
      </c>
      <c r="C20" s="6">
        <v>51598.029821428579</v>
      </c>
      <c r="D20" s="6">
        <v>42602.237142857135</v>
      </c>
      <c r="E20" s="6">
        <v>234369.5146428571</v>
      </c>
      <c r="F20" s="6">
        <v>135238.60714285713</v>
      </c>
      <c r="G20" s="6">
        <v>167730.06607142853</v>
      </c>
      <c r="H20" s="6">
        <v>148897.19160714286</v>
      </c>
      <c r="I20" s="6">
        <v>47551.357142857138</v>
      </c>
      <c r="J20" s="6">
        <v>31556.3125</v>
      </c>
      <c r="K20" s="6">
        <v>251639.55357142855</v>
      </c>
      <c r="L20" s="6">
        <v>140.23214285714272</v>
      </c>
      <c r="M20" s="6">
        <v>119857.28571428571</v>
      </c>
      <c r="N20" s="6">
        <v>78262.214285714275</v>
      </c>
      <c r="O20" s="6">
        <v>127124.43749999997</v>
      </c>
      <c r="P20" s="6">
        <v>82412.482142857145</v>
      </c>
      <c r="Q20" s="6"/>
      <c r="R20" s="6">
        <v>-525.66071428571422</v>
      </c>
      <c r="S20" s="6"/>
      <c r="T20" s="6"/>
      <c r="U20" s="6"/>
      <c r="V20" s="6"/>
      <c r="W20" s="6"/>
      <c r="X20" s="6"/>
      <c r="Y20" s="6"/>
      <c r="Z20" s="16"/>
      <c r="AA20" s="6">
        <f t="shared" si="0"/>
        <v>0</v>
      </c>
      <c r="AB20" s="51" t="e">
        <f t="shared" si="1"/>
        <v>#DIV/0!</v>
      </c>
      <c r="AC20" s="21">
        <f t="shared" si="2"/>
        <v>0</v>
      </c>
      <c r="AD20" s="8" t="e">
        <f t="shared" si="3"/>
        <v>#DIV/0!</v>
      </c>
      <c r="AE20" s="9" t="e">
        <f t="shared" si="4"/>
        <v>#DIV/0!</v>
      </c>
    </row>
    <row r="21" spans="1:31" hidden="1" x14ac:dyDescent="0.25">
      <c r="A21" s="13" t="s">
        <v>25</v>
      </c>
      <c r="B21" s="6">
        <v>-2396.25</v>
      </c>
      <c r="C21" s="6">
        <v>-3195</v>
      </c>
      <c r="D21" s="6"/>
      <c r="E21" s="6">
        <v>-16938.392857142855</v>
      </c>
      <c r="F21" s="6">
        <v>-8826.1875</v>
      </c>
      <c r="G21" s="6">
        <v>-4712.625</v>
      </c>
      <c r="H21" s="6">
        <v>-2955.375</v>
      </c>
      <c r="I21" s="6">
        <v>-1078.3124999999998</v>
      </c>
      <c r="J21" s="6">
        <v>-399.375</v>
      </c>
      <c r="K21" s="6">
        <v>-3959.8035714285706</v>
      </c>
      <c r="L21" s="6">
        <v>-1823.1517857142856</v>
      </c>
      <c r="M21" s="6">
        <v>-1078.3125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6"/>
      <c r="AA21" s="6">
        <f t="shared" si="0"/>
        <v>0</v>
      </c>
      <c r="AB21" s="51" t="e">
        <f t="shared" si="1"/>
        <v>#DIV/0!</v>
      </c>
      <c r="AC21" s="21">
        <f t="shared" si="2"/>
        <v>0</v>
      </c>
      <c r="AD21" s="8" t="e">
        <f t="shared" si="3"/>
        <v>#DIV/0!</v>
      </c>
      <c r="AE21" s="9" t="e">
        <f t="shared" si="4"/>
        <v>#DIV/0!</v>
      </c>
    </row>
    <row r="22" spans="1:31" hidden="1" x14ac:dyDescent="0.25">
      <c r="A22" s="13" t="s">
        <v>26</v>
      </c>
      <c r="B22" s="6"/>
      <c r="C22" s="6">
        <v>-225.9375</v>
      </c>
      <c r="D22" s="6"/>
      <c r="E22" s="6"/>
      <c r="F22" s="6">
        <v>-2259.375</v>
      </c>
      <c r="G22" s="6">
        <v>-2711.25</v>
      </c>
      <c r="H22" s="6">
        <v>-3163.1249999999995</v>
      </c>
      <c r="I22" s="6">
        <v>-813.39285714285711</v>
      </c>
      <c r="J22" s="6">
        <v>-1717.9464285714284</v>
      </c>
      <c r="K22" s="6">
        <v>-10976.428571428571</v>
      </c>
      <c r="L22" s="6">
        <v>-5305.125</v>
      </c>
      <c r="M22" s="6">
        <v>-2390.2767857142853</v>
      </c>
      <c r="N22" s="6">
        <v>-203.34821428571428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6"/>
      <c r="AA22" s="6">
        <f t="shared" si="0"/>
        <v>0</v>
      </c>
      <c r="AB22" s="51" t="e">
        <f t="shared" si="1"/>
        <v>#DIV/0!</v>
      </c>
      <c r="AC22" s="21">
        <f t="shared" si="2"/>
        <v>0</v>
      </c>
      <c r="AD22" s="8" t="e">
        <f t="shared" si="3"/>
        <v>#DIV/0!</v>
      </c>
      <c r="AE22" s="9" t="e">
        <f t="shared" si="4"/>
        <v>#DIV/0!</v>
      </c>
    </row>
    <row r="23" spans="1:31" hidden="1" x14ac:dyDescent="0.25">
      <c r="A23" s="13" t="s">
        <v>27</v>
      </c>
      <c r="B23" s="6"/>
      <c r="C23" s="6"/>
      <c r="D23" s="6"/>
      <c r="E23" s="6"/>
      <c r="F23" s="6"/>
      <c r="G23" s="6">
        <v>1874138.15</v>
      </c>
      <c r="H23" s="6"/>
      <c r="I23" s="6"/>
      <c r="J23" s="6"/>
      <c r="K23" s="6"/>
      <c r="L23" s="6">
        <v>2163630.8519999995</v>
      </c>
      <c r="M23" s="6"/>
      <c r="N23" s="6"/>
      <c r="O23" s="6"/>
      <c r="P23" s="6"/>
      <c r="Q23" s="6"/>
      <c r="R23" s="6">
        <v>2264052.3839285714</v>
      </c>
      <c r="S23" s="6">
        <v>18302.696428571428</v>
      </c>
      <c r="T23" s="6">
        <v>0</v>
      </c>
      <c r="U23" s="6"/>
      <c r="V23" s="6"/>
      <c r="W23" s="6">
        <v>1981084.0957142855</v>
      </c>
      <c r="X23" s="6"/>
      <c r="Y23" s="6"/>
      <c r="Z23" s="16">
        <v>30535.910714285688</v>
      </c>
      <c r="AA23" s="6">
        <f t="shared" si="0"/>
        <v>335270.00107142853</v>
      </c>
      <c r="AB23" s="51">
        <f t="shared" si="1"/>
        <v>-1</v>
      </c>
      <c r="AC23" s="21">
        <f t="shared" si="2"/>
        <v>-304734.09035714285</v>
      </c>
      <c r="AD23" s="8">
        <f t="shared" si="3"/>
        <v>304733.09035714285</v>
      </c>
      <c r="AE23" s="9">
        <f t="shared" si="4"/>
        <v>-304733.09035714285</v>
      </c>
    </row>
    <row r="24" spans="1:31" hidden="1" x14ac:dyDescent="0.25">
      <c r="A24" s="13" t="s">
        <v>28</v>
      </c>
      <c r="B24" s="6">
        <v>175041.41964285713</v>
      </c>
      <c r="C24" s="6">
        <v>28440.848214285714</v>
      </c>
      <c r="D24" s="6">
        <v>108290.61607142857</v>
      </c>
      <c r="E24" s="6">
        <v>170645.19642857139</v>
      </c>
      <c r="F24" s="6">
        <v>52664.955357142848</v>
      </c>
      <c r="G24" s="6">
        <v>75184.46428571429</v>
      </c>
      <c r="H24" s="6">
        <v>74421.847321428562</v>
      </c>
      <c r="I24" s="6">
        <v>24276.785714285714</v>
      </c>
      <c r="J24" s="6">
        <v>25524.526785714279</v>
      </c>
      <c r="K24" s="6">
        <v>40018.955357142862</v>
      </c>
      <c r="L24" s="6">
        <v>33016.616071428565</v>
      </c>
      <c r="M24" s="6">
        <v>40733.232142857145</v>
      </c>
      <c r="N24" s="6">
        <v>56138.303571428565</v>
      </c>
      <c r="O24" s="6">
        <v>43638.08035714287</v>
      </c>
      <c r="P24" s="6">
        <v>64866.883928571464</v>
      </c>
      <c r="Q24" s="6">
        <v>42706.214285714275</v>
      </c>
      <c r="R24" s="6">
        <v>105958.52678571428</v>
      </c>
      <c r="S24" s="6"/>
      <c r="T24" s="6">
        <v>16508.276785714283</v>
      </c>
      <c r="U24" s="6">
        <v>241119.74107142852</v>
      </c>
      <c r="V24" s="6">
        <v>244887.86607142852</v>
      </c>
      <c r="W24" s="6">
        <v>29049.32142857142</v>
      </c>
      <c r="X24" s="6">
        <v>80298.491071428594</v>
      </c>
      <c r="Y24" s="6">
        <v>26184.178571428576</v>
      </c>
      <c r="Z24" s="16"/>
      <c r="AA24" s="6">
        <f t="shared" si="0"/>
        <v>103589.93303571426</v>
      </c>
      <c r="AB24" s="51">
        <f t="shared" si="1"/>
        <v>-0.74723240179717876</v>
      </c>
      <c r="AC24" s="21">
        <f t="shared" si="2"/>
        <v>-103589.93303571426</v>
      </c>
      <c r="AD24" s="8">
        <f t="shared" si="3"/>
        <v>138630.47902388696</v>
      </c>
      <c r="AE24" s="9">
        <f t="shared" si="4"/>
        <v>-103589.18580331246</v>
      </c>
    </row>
    <row r="25" spans="1:31" hidden="1" x14ac:dyDescent="0.25">
      <c r="A25" s="13" t="s">
        <v>29</v>
      </c>
      <c r="B25" s="6">
        <v>17833.258928571431</v>
      </c>
      <c r="C25" s="6">
        <v>-19022.142857142855</v>
      </c>
      <c r="D25" s="6">
        <v>-90690.348214285725</v>
      </c>
      <c r="E25" s="6">
        <v>-241812.78571428562</v>
      </c>
      <c r="F25" s="6">
        <v>-14837.285714285712</v>
      </c>
      <c r="G25" s="6">
        <v>-25781.044642857141</v>
      </c>
      <c r="H25" s="6">
        <v>-266628.83035714284</v>
      </c>
      <c r="I25" s="6">
        <v>-204352.16071428568</v>
      </c>
      <c r="J25" s="6">
        <v>-11770</v>
      </c>
      <c r="K25" s="6">
        <v>-8761.8482142857138</v>
      </c>
      <c r="L25" s="6"/>
      <c r="M25" s="6">
        <v>-2104</v>
      </c>
      <c r="N25" s="6">
        <v>-1910.7142857142856</v>
      </c>
      <c r="O25" s="6"/>
      <c r="P25" s="6"/>
      <c r="Q25" s="6"/>
      <c r="R25" s="6"/>
      <c r="S25" s="6">
        <v>577698.39285714284</v>
      </c>
      <c r="T25" s="6"/>
      <c r="U25" s="6"/>
      <c r="V25" s="6"/>
      <c r="W25" s="6"/>
      <c r="X25" s="6"/>
      <c r="Y25" s="6"/>
      <c r="Z25" s="16"/>
      <c r="AA25" s="6">
        <f t="shared" si="0"/>
        <v>0</v>
      </c>
      <c r="AB25" s="51" t="e">
        <f t="shared" si="1"/>
        <v>#DIV/0!</v>
      </c>
      <c r="AC25" s="21">
        <f t="shared" si="2"/>
        <v>0</v>
      </c>
      <c r="AD25" s="8" t="e">
        <f t="shared" si="3"/>
        <v>#DIV/0!</v>
      </c>
      <c r="AE25" s="9" t="e">
        <f t="shared" si="4"/>
        <v>#DIV/0!</v>
      </c>
    </row>
    <row r="26" spans="1:31" hidden="1" x14ac:dyDescent="0.25">
      <c r="A26" s="13" t="s">
        <v>30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0</v>
      </c>
      <c r="W26" s="6"/>
      <c r="X26" s="6"/>
      <c r="Y26" s="6"/>
      <c r="Z26" s="16"/>
      <c r="AA26" s="6">
        <f t="shared" si="0"/>
        <v>0</v>
      </c>
      <c r="AB26" s="51" t="e">
        <f t="shared" si="1"/>
        <v>#DIV/0!</v>
      </c>
      <c r="AC26" s="21">
        <f t="shared" si="2"/>
        <v>0</v>
      </c>
      <c r="AD26" s="8"/>
      <c r="AE26" s="9"/>
    </row>
    <row r="27" spans="1:31" hidden="1" x14ac:dyDescent="0.25">
      <c r="A27" s="13" t="s">
        <v>31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0</v>
      </c>
      <c r="W27" s="6"/>
      <c r="X27" s="6"/>
      <c r="Y27" s="6"/>
      <c r="Z27" s="16">
        <v>-9364.0714285714294</v>
      </c>
      <c r="AA27" s="6">
        <f t="shared" si="0"/>
        <v>-1560.6785714285716</v>
      </c>
      <c r="AB27" s="51">
        <f t="shared" si="1"/>
        <v>-1</v>
      </c>
      <c r="AC27" s="21">
        <f t="shared" si="2"/>
        <v>-7803.3928571428578</v>
      </c>
      <c r="AD27" s="8"/>
      <c r="AE27" s="9"/>
    </row>
    <row r="28" spans="1:31" hidden="1" x14ac:dyDescent="0.25">
      <c r="A28" s="13" t="s">
        <v>32</v>
      </c>
      <c r="B28" s="6">
        <v>-484.99107142857139</v>
      </c>
      <c r="C28" s="6">
        <v>-6055.8392857142853</v>
      </c>
      <c r="D28" s="6">
        <v>-2707.8035714285711</v>
      </c>
      <c r="E28" s="6">
        <v>-10684.571428571426</v>
      </c>
      <c r="F28" s="6">
        <v>-2095.1071428571427</v>
      </c>
      <c r="G28" s="6">
        <v>-57768.22321428571</v>
      </c>
      <c r="H28" s="6">
        <v>-5878.9553571428569</v>
      </c>
      <c r="I28" s="6">
        <v>-3668.7946428571427</v>
      </c>
      <c r="J28" s="6">
        <v>-7243.6160714285706</v>
      </c>
      <c r="K28" s="6">
        <v>-36056.017857142841</v>
      </c>
      <c r="L28" s="6">
        <v>-11511.008928571428</v>
      </c>
      <c r="M28" s="6">
        <v>-12667.0625</v>
      </c>
      <c r="N28" s="6">
        <v>-6728.2767857142853</v>
      </c>
      <c r="O28" s="6">
        <v>-40301.982142857145</v>
      </c>
      <c r="P28" s="6">
        <v>-38233.901785714275</v>
      </c>
      <c r="Q28" s="6">
        <v>-70217.4375</v>
      </c>
      <c r="R28" s="6">
        <v>-29333.508928571424</v>
      </c>
      <c r="S28" s="6">
        <v>-10027.294642857143</v>
      </c>
      <c r="T28" s="6">
        <v>-48409.535714285703</v>
      </c>
      <c r="U28" s="6">
        <v>-29124.651785714286</v>
      </c>
      <c r="V28" s="6">
        <v>-15961.973214285714</v>
      </c>
      <c r="W28" s="6">
        <v>-9246.2678571428587</v>
      </c>
      <c r="X28" s="6">
        <v>-9856.2142857142844</v>
      </c>
      <c r="Y28" s="6">
        <v>-40474.04464285713</v>
      </c>
      <c r="Z28" s="6"/>
      <c r="AA28" s="6">
        <f t="shared" si="0"/>
        <v>-17443.858630952378</v>
      </c>
      <c r="AB28" s="51">
        <f t="shared" si="1"/>
        <v>1.3202460819672086</v>
      </c>
      <c r="AC28" s="21">
        <f t="shared" si="2"/>
        <v>17443.858630952378</v>
      </c>
      <c r="AD28" s="8">
        <f t="shared" si="3"/>
        <v>13211.58125224691</v>
      </c>
      <c r="AE28" s="9">
        <f t="shared" si="4"/>
        <v>17442.538384870411</v>
      </c>
    </row>
    <row r="29" spans="1:31" x14ac:dyDescent="0.25">
      <c r="A29" s="14" t="s">
        <v>33</v>
      </c>
      <c r="B29" s="15">
        <v>48396926.298035726</v>
      </c>
      <c r="C29" s="15">
        <v>35279047.045892812</v>
      </c>
      <c r="D29" s="15">
        <v>35103892.951249979</v>
      </c>
      <c r="E29" s="15">
        <v>46597582.057904609</v>
      </c>
      <c r="F29" s="15">
        <v>37957806.083035715</v>
      </c>
      <c r="G29" s="15">
        <v>42105995.060892776</v>
      </c>
      <c r="H29" s="15">
        <v>43963615.265089236</v>
      </c>
      <c r="I29" s="15">
        <v>51561187.562500007</v>
      </c>
      <c r="J29" s="15">
        <v>41741149.249999866</v>
      </c>
      <c r="K29" s="15">
        <v>45309190.953214429</v>
      </c>
      <c r="L29" s="15">
        <v>38457821.476999991</v>
      </c>
      <c r="M29" s="15">
        <v>33455911.080357142</v>
      </c>
      <c r="N29" s="10">
        <f>SUM(N4:N28)</f>
        <v>45553509.61607141</v>
      </c>
      <c r="O29" s="10">
        <f t="shared" ref="O29:W29" si="5">SUM(O4:O28)</f>
        <v>49436117.212142974</v>
      </c>
      <c r="P29" s="10">
        <f t="shared" si="5"/>
        <v>49648003.989786185</v>
      </c>
      <c r="Q29" s="10">
        <f t="shared" si="5"/>
        <v>34441014.312499985</v>
      </c>
      <c r="R29" s="10">
        <f t="shared" si="5"/>
        <v>53903637.544643201</v>
      </c>
      <c r="S29" s="10">
        <f t="shared" si="5"/>
        <v>44585611.669643015</v>
      </c>
      <c r="T29" s="10">
        <f t="shared" si="5"/>
        <v>46782150.089285828</v>
      </c>
      <c r="U29" s="10">
        <f t="shared" si="5"/>
        <v>41596113.830357209</v>
      </c>
      <c r="V29" s="10">
        <f t="shared" si="5"/>
        <v>54586838.098214626</v>
      </c>
      <c r="W29" s="10">
        <f t="shared" si="5"/>
        <v>59134396.301071465</v>
      </c>
      <c r="X29" s="10">
        <f>SUM(X4:X28)</f>
        <v>48879428.214285821</v>
      </c>
      <c r="Y29" s="10">
        <f>SUM(Y4:Y28)</f>
        <v>33191949.455357175</v>
      </c>
      <c r="Z29" s="10">
        <f>SUM(Z4:Z28)</f>
        <v>53942602.857142814</v>
      </c>
      <c r="AA29" s="6">
        <f>SUM(U29:Z29)/6</f>
        <v>48555221.459404849</v>
      </c>
      <c r="AB29" s="51">
        <f>Y29/AA29-1</f>
        <v>-0.31640823668968976</v>
      </c>
      <c r="AC29" s="21">
        <f>Z29-AA29</f>
        <v>5387381.397737965</v>
      </c>
      <c r="AD29" s="11">
        <f>O29</f>
        <v>49436117.212142974</v>
      </c>
      <c r="AE29" s="11">
        <f>AA29</f>
        <v>48555221.459404849</v>
      </c>
    </row>
    <row r="31" spans="1:31" x14ac:dyDescent="0.25">
      <c r="A31" s="1" t="s">
        <v>0</v>
      </c>
    </row>
    <row r="32" spans="1:31" x14ac:dyDescent="0.25">
      <c r="A32" s="1" t="s">
        <v>34</v>
      </c>
      <c r="AD32" s="2"/>
      <c r="AE32" s="2"/>
    </row>
    <row r="33" spans="1:38" x14ac:dyDescent="0.25">
      <c r="A33" s="12" t="s">
        <v>2</v>
      </c>
      <c r="B33" s="12">
        <v>1</v>
      </c>
      <c r="C33" s="12">
        <v>2</v>
      </c>
      <c r="D33" s="12">
        <v>3</v>
      </c>
      <c r="E33" s="12">
        <v>4</v>
      </c>
      <c r="F33" s="12">
        <v>5</v>
      </c>
      <c r="G33" s="12">
        <v>6</v>
      </c>
      <c r="H33" s="12">
        <v>7</v>
      </c>
      <c r="I33" s="12">
        <v>8</v>
      </c>
      <c r="J33" s="12">
        <v>9</v>
      </c>
      <c r="K33" s="12">
        <v>10</v>
      </c>
      <c r="L33" s="12">
        <v>11</v>
      </c>
      <c r="M33" s="12">
        <v>12</v>
      </c>
      <c r="N33" s="12">
        <v>1</v>
      </c>
      <c r="O33" s="12">
        <v>2</v>
      </c>
      <c r="P33" s="12">
        <v>3</v>
      </c>
      <c r="Q33" s="12">
        <v>4</v>
      </c>
      <c r="R33" s="12">
        <v>5</v>
      </c>
      <c r="S33" s="12">
        <v>6</v>
      </c>
      <c r="T33" s="12">
        <v>7</v>
      </c>
      <c r="U33" s="3">
        <v>8</v>
      </c>
      <c r="V33" s="3">
        <v>9</v>
      </c>
      <c r="W33" s="3">
        <v>10</v>
      </c>
      <c r="X33" s="3">
        <v>11</v>
      </c>
      <c r="Y33" s="3">
        <v>12</v>
      </c>
      <c r="Z33" s="3">
        <v>1</v>
      </c>
      <c r="AA33" s="4" t="s">
        <v>3</v>
      </c>
      <c r="AB33" s="4" t="s">
        <v>4</v>
      </c>
      <c r="AC33" s="4" t="s">
        <v>5</v>
      </c>
      <c r="AD33" s="4" t="s">
        <v>6</v>
      </c>
      <c r="AE33" s="5" t="s">
        <v>7</v>
      </c>
      <c r="AG33" s="4" t="s">
        <v>35</v>
      </c>
      <c r="AH33" s="4" t="s">
        <v>36</v>
      </c>
      <c r="AI33" s="4" t="s">
        <v>37</v>
      </c>
      <c r="AJ33" s="4" t="s">
        <v>38</v>
      </c>
      <c r="AK33" s="4" t="s">
        <v>39</v>
      </c>
      <c r="AL33" s="4" t="s">
        <v>40</v>
      </c>
    </row>
    <row r="34" spans="1:38" x14ac:dyDescent="0.25">
      <c r="A34" s="13" t="s">
        <v>41</v>
      </c>
      <c r="B34" s="6">
        <v>28769</v>
      </c>
      <c r="C34" s="6">
        <v>15367</v>
      </c>
      <c r="D34" s="6">
        <v>23005</v>
      </c>
      <c r="E34" s="6">
        <v>17481</v>
      </c>
      <c r="F34" s="6">
        <v>18487</v>
      </c>
      <c r="G34" s="6">
        <v>17587</v>
      </c>
      <c r="H34" s="6">
        <v>24693</v>
      </c>
      <c r="I34" s="6">
        <v>19586</v>
      </c>
      <c r="J34" s="6">
        <v>17436</v>
      </c>
      <c r="K34" s="6">
        <v>19288</v>
      </c>
      <c r="L34" s="6">
        <v>11806</v>
      </c>
      <c r="M34" s="6">
        <v>10071</v>
      </c>
      <c r="N34" s="6">
        <v>19348</v>
      </c>
      <c r="O34" s="6">
        <v>17677</v>
      </c>
      <c r="P34" s="6">
        <v>21835</v>
      </c>
      <c r="Q34" s="6">
        <v>13283</v>
      </c>
      <c r="R34" s="6">
        <v>24925</v>
      </c>
      <c r="S34" s="6">
        <v>17925</v>
      </c>
      <c r="T34" s="6">
        <v>17598</v>
      </c>
      <c r="U34" s="6">
        <v>12688</v>
      </c>
      <c r="V34" s="6">
        <v>21221</v>
      </c>
      <c r="W34" s="16">
        <v>18365</v>
      </c>
      <c r="X34" s="16">
        <v>22602</v>
      </c>
      <c r="Y34" s="16">
        <v>14217</v>
      </c>
      <c r="Z34" s="16">
        <v>14839</v>
      </c>
      <c r="AA34" s="6">
        <f t="shared" ref="AA34:AA59" si="6">SUM(U34:Z34)/6</f>
        <v>17322</v>
      </c>
      <c r="AB34" s="51">
        <f t="shared" ref="AB34:AB59" si="7">Y34/AA34-1</f>
        <v>-0.17925181849670935</v>
      </c>
      <c r="AC34" s="21">
        <f t="shared" ref="AC34:AC59" si="8">Z34-AA34</f>
        <v>-2483</v>
      </c>
      <c r="AD34" s="24">
        <f>AC34/AB34-1</f>
        <v>13851.02125603865</v>
      </c>
      <c r="AE34" s="26">
        <f>AC34-AB34</f>
        <v>-2482.8207481815034</v>
      </c>
      <c r="AF34" s="27"/>
      <c r="AG34" s="27" t="s">
        <v>42</v>
      </c>
      <c r="AH34" t="s">
        <v>43</v>
      </c>
      <c r="AI34" s="6">
        <f>SUM(B34:L34)</f>
        <v>213505</v>
      </c>
      <c r="AJ34" s="6">
        <f>SUM(N34:X34)</f>
        <v>207467</v>
      </c>
      <c r="AK34" s="31">
        <f>AJ34/AI34-1</f>
        <v>-2.8280368141261336E-2</v>
      </c>
      <c r="AL34" s="21">
        <f>AJ34-AI34</f>
        <v>-6038</v>
      </c>
    </row>
    <row r="35" spans="1:38" x14ac:dyDescent="0.25">
      <c r="A35" s="13" t="s">
        <v>44</v>
      </c>
      <c r="B35" s="6">
        <v>5110</v>
      </c>
      <c r="C35" s="6">
        <v>5686</v>
      </c>
      <c r="D35" s="6">
        <v>5901</v>
      </c>
      <c r="E35" s="6">
        <v>8570</v>
      </c>
      <c r="F35" s="6">
        <v>5890</v>
      </c>
      <c r="G35" s="6">
        <v>4643</v>
      </c>
      <c r="H35" s="6">
        <v>5541</v>
      </c>
      <c r="I35" s="6">
        <v>7153</v>
      </c>
      <c r="J35" s="6">
        <v>6332</v>
      </c>
      <c r="K35" s="6">
        <v>5818</v>
      </c>
      <c r="L35" s="6">
        <v>5711</v>
      </c>
      <c r="M35" s="6">
        <v>4387</v>
      </c>
      <c r="N35" s="6">
        <v>5712</v>
      </c>
      <c r="O35" s="6">
        <v>8370</v>
      </c>
      <c r="P35" s="6">
        <v>7533</v>
      </c>
      <c r="Q35" s="6">
        <v>5131</v>
      </c>
      <c r="R35" s="6">
        <v>7198</v>
      </c>
      <c r="S35" s="6">
        <v>4984</v>
      </c>
      <c r="T35" s="6">
        <v>6783</v>
      </c>
      <c r="U35" s="6">
        <v>5460</v>
      </c>
      <c r="V35" s="6">
        <v>8331</v>
      </c>
      <c r="W35" s="16">
        <v>7804</v>
      </c>
      <c r="X35" s="16">
        <v>7074</v>
      </c>
      <c r="Y35" s="16">
        <v>3622</v>
      </c>
      <c r="Z35" s="16">
        <v>7991</v>
      </c>
      <c r="AA35" s="6">
        <f t="shared" si="6"/>
        <v>6713.666666666667</v>
      </c>
      <c r="AB35" s="51">
        <f t="shared" si="7"/>
        <v>-0.46050345067275711</v>
      </c>
      <c r="AC35" s="21">
        <f t="shared" si="8"/>
        <v>1277.333333333333</v>
      </c>
      <c r="AD35" s="24">
        <f t="shared" ref="AD35:AD58" si="9">AC35/AB35-1</f>
        <v>-2774.7758131176988</v>
      </c>
      <c r="AE35" s="26">
        <f>AC35-AB35</f>
        <v>1277.7938367840059</v>
      </c>
      <c r="AF35" s="27"/>
      <c r="AG35" s="27" t="s">
        <v>42</v>
      </c>
      <c r="AH35" t="s">
        <v>45</v>
      </c>
      <c r="AI35" s="6">
        <f t="shared" ref="AI35:AI48" si="10">SUM(B35:L35)</f>
        <v>66355</v>
      </c>
      <c r="AJ35" s="6">
        <f t="shared" ref="AJ35:AJ46" si="11">SUM(N35:X35)</f>
        <v>74380</v>
      </c>
      <c r="AK35" s="30">
        <f t="shared" ref="AK35:AK48" si="12">AJ35/AI35-1</f>
        <v>0.12094039635295006</v>
      </c>
      <c r="AL35" s="25">
        <f t="shared" ref="AL35:AL48" si="13">AJ35-AI35</f>
        <v>8025</v>
      </c>
    </row>
    <row r="36" spans="1:38" x14ac:dyDescent="0.25">
      <c r="A36" s="13" t="s">
        <v>10</v>
      </c>
      <c r="B36" s="6">
        <v>11685</v>
      </c>
      <c r="C36" s="6">
        <v>7643</v>
      </c>
      <c r="D36" s="6">
        <v>8418</v>
      </c>
      <c r="E36" s="6">
        <v>10590</v>
      </c>
      <c r="F36" s="6">
        <v>8008</v>
      </c>
      <c r="G36" s="6">
        <v>7983</v>
      </c>
      <c r="H36" s="6">
        <v>7678</v>
      </c>
      <c r="I36" s="6">
        <v>13439</v>
      </c>
      <c r="J36" s="6">
        <v>10338</v>
      </c>
      <c r="K36" s="6">
        <v>9767</v>
      </c>
      <c r="L36" s="6">
        <v>9181</v>
      </c>
      <c r="M36" s="6">
        <v>8517</v>
      </c>
      <c r="N36" s="6">
        <v>13356</v>
      </c>
      <c r="O36" s="6">
        <v>9612</v>
      </c>
      <c r="P36" s="6">
        <v>7554</v>
      </c>
      <c r="Q36" s="6">
        <v>9977</v>
      </c>
      <c r="R36" s="6">
        <v>8258</v>
      </c>
      <c r="S36" s="6">
        <v>14125</v>
      </c>
      <c r="T36" s="6">
        <v>11975</v>
      </c>
      <c r="U36" s="6">
        <v>8638</v>
      </c>
      <c r="V36" s="6">
        <v>14495</v>
      </c>
      <c r="W36" s="16">
        <v>10803</v>
      </c>
      <c r="X36" s="16">
        <v>11645</v>
      </c>
      <c r="Y36" s="16">
        <v>9708</v>
      </c>
      <c r="Z36" s="16">
        <v>11283</v>
      </c>
      <c r="AA36" s="6">
        <f t="shared" si="6"/>
        <v>11095.333333333334</v>
      </c>
      <c r="AB36" s="51">
        <f t="shared" si="7"/>
        <v>-0.12503755332572253</v>
      </c>
      <c r="AC36" s="21">
        <f t="shared" si="8"/>
        <v>187.66666666666606</v>
      </c>
      <c r="AD36" s="8">
        <f t="shared" si="9"/>
        <v>-1501.8824283197132</v>
      </c>
      <c r="AE36" s="22">
        <f t="shared" ref="AE36:AE58" si="14">AC36-AB36</f>
        <v>187.79170421999177</v>
      </c>
      <c r="AF36" s="23"/>
      <c r="AG36" s="23" t="s">
        <v>46</v>
      </c>
      <c r="AI36" s="6">
        <f t="shared" si="10"/>
        <v>104730</v>
      </c>
      <c r="AJ36" s="6">
        <f t="shared" si="11"/>
        <v>120438</v>
      </c>
      <c r="AK36" s="30">
        <f t="shared" si="12"/>
        <v>0.14998567745631619</v>
      </c>
      <c r="AL36" s="25">
        <f t="shared" si="13"/>
        <v>15708</v>
      </c>
    </row>
    <row r="37" spans="1:38" x14ac:dyDescent="0.25">
      <c r="A37" s="13" t="s">
        <v>47</v>
      </c>
      <c r="B37" s="6">
        <v>5351</v>
      </c>
      <c r="C37" s="6">
        <v>5246</v>
      </c>
      <c r="D37" s="6">
        <v>3562</v>
      </c>
      <c r="E37" s="6">
        <v>6539</v>
      </c>
      <c r="F37" s="6">
        <v>4567</v>
      </c>
      <c r="G37" s="6">
        <v>4211</v>
      </c>
      <c r="H37" s="6">
        <v>5485</v>
      </c>
      <c r="I37" s="6">
        <v>7852</v>
      </c>
      <c r="J37" s="6">
        <v>5435</v>
      </c>
      <c r="K37" s="6">
        <v>7881</v>
      </c>
      <c r="L37" s="6">
        <v>4703</v>
      </c>
      <c r="M37" s="6">
        <v>5935</v>
      </c>
      <c r="N37" s="6">
        <v>7374</v>
      </c>
      <c r="O37" s="6">
        <v>5530</v>
      </c>
      <c r="P37" s="6">
        <v>10004</v>
      </c>
      <c r="Q37" s="6">
        <v>4968</v>
      </c>
      <c r="R37" s="6">
        <v>7042</v>
      </c>
      <c r="S37" s="6">
        <v>6826</v>
      </c>
      <c r="T37" s="6">
        <v>6085</v>
      </c>
      <c r="U37" s="6">
        <v>7621</v>
      </c>
      <c r="V37" s="6">
        <v>7217</v>
      </c>
      <c r="W37" s="16">
        <v>7544</v>
      </c>
      <c r="X37" s="16">
        <v>7246</v>
      </c>
      <c r="Y37" s="16">
        <v>5332</v>
      </c>
      <c r="Z37" s="16">
        <v>10153</v>
      </c>
      <c r="AA37" s="6">
        <f t="shared" si="6"/>
        <v>7518.833333333333</v>
      </c>
      <c r="AB37" s="51">
        <f t="shared" si="7"/>
        <v>-0.29084742757076676</v>
      </c>
      <c r="AC37" s="21">
        <f t="shared" si="8"/>
        <v>2634.166666666667</v>
      </c>
      <c r="AD37" s="24">
        <f t="shared" si="9"/>
        <v>-9057.8676803089202</v>
      </c>
      <c r="AE37" s="26">
        <f t="shared" si="14"/>
        <v>2634.4575140942379</v>
      </c>
      <c r="AF37" s="27"/>
      <c r="AG37" s="27" t="s">
        <v>42</v>
      </c>
      <c r="AH37" t="s">
        <v>48</v>
      </c>
      <c r="AI37" s="6">
        <f t="shared" si="10"/>
        <v>60832</v>
      </c>
      <c r="AJ37" s="6">
        <f t="shared" si="11"/>
        <v>77457</v>
      </c>
      <c r="AK37" s="30">
        <f t="shared" si="12"/>
        <v>0.27329366123093113</v>
      </c>
      <c r="AL37" s="25">
        <f t="shared" si="13"/>
        <v>16625</v>
      </c>
    </row>
    <row r="38" spans="1:38" x14ac:dyDescent="0.25">
      <c r="A38" s="13" t="s">
        <v>49</v>
      </c>
      <c r="B38" s="6">
        <v>2470</v>
      </c>
      <c r="C38" s="6">
        <v>2300</v>
      </c>
      <c r="D38" s="6">
        <v>2376</v>
      </c>
      <c r="E38" s="6">
        <v>2205</v>
      </c>
      <c r="F38" s="6">
        <v>2824</v>
      </c>
      <c r="G38" s="6">
        <v>1373</v>
      </c>
      <c r="H38" s="6">
        <v>2739</v>
      </c>
      <c r="I38" s="6">
        <v>2932</v>
      </c>
      <c r="J38" s="6">
        <v>2375</v>
      </c>
      <c r="K38" s="6">
        <v>2053</v>
      </c>
      <c r="L38" s="6">
        <v>2671</v>
      </c>
      <c r="M38" s="6">
        <v>2189</v>
      </c>
      <c r="N38" s="6">
        <v>2205</v>
      </c>
      <c r="O38" s="6">
        <v>3616</v>
      </c>
      <c r="P38" s="6">
        <v>2226</v>
      </c>
      <c r="Q38" s="6">
        <v>2052</v>
      </c>
      <c r="R38" s="6">
        <v>2105</v>
      </c>
      <c r="S38" s="6">
        <v>1738</v>
      </c>
      <c r="T38" s="6">
        <v>2583</v>
      </c>
      <c r="U38" s="6">
        <v>2356</v>
      </c>
      <c r="V38" s="6">
        <v>3004</v>
      </c>
      <c r="W38" s="16">
        <v>2912</v>
      </c>
      <c r="X38" s="16">
        <v>2463</v>
      </c>
      <c r="Y38" s="16">
        <v>1635</v>
      </c>
      <c r="Z38" s="16">
        <v>2441</v>
      </c>
      <c r="AA38" s="6">
        <f t="shared" si="6"/>
        <v>2468.5</v>
      </c>
      <c r="AB38" s="51">
        <f t="shared" si="7"/>
        <v>-0.33765444601985006</v>
      </c>
      <c r="AC38" s="21">
        <f t="shared" si="8"/>
        <v>-27.5</v>
      </c>
      <c r="AD38" s="8">
        <f t="shared" si="9"/>
        <v>80.444211157768464</v>
      </c>
      <c r="AE38" s="22">
        <f t="shared" si="14"/>
        <v>-27.162345553980149</v>
      </c>
      <c r="AF38" s="23"/>
      <c r="AG38" s="23" t="s">
        <v>46</v>
      </c>
      <c r="AI38" s="6">
        <f t="shared" si="10"/>
        <v>26318</v>
      </c>
      <c r="AJ38" s="6">
        <f t="shared" si="11"/>
        <v>27260</v>
      </c>
      <c r="AK38" s="30">
        <f t="shared" si="12"/>
        <v>3.5792993388555461E-2</v>
      </c>
      <c r="AL38" s="25">
        <f t="shared" si="13"/>
        <v>942</v>
      </c>
    </row>
    <row r="39" spans="1:38" x14ac:dyDescent="0.25">
      <c r="A39" s="13" t="s">
        <v>13</v>
      </c>
      <c r="B39" s="6">
        <v>13227</v>
      </c>
      <c r="C39" s="6">
        <v>9557</v>
      </c>
      <c r="D39" s="6">
        <v>5780</v>
      </c>
      <c r="E39" s="6">
        <v>11011</v>
      </c>
      <c r="F39" s="6">
        <v>7408</v>
      </c>
      <c r="G39" s="6">
        <v>7407</v>
      </c>
      <c r="H39" s="6">
        <v>8317</v>
      </c>
      <c r="I39" s="6">
        <v>14171</v>
      </c>
      <c r="J39" s="6">
        <v>8908</v>
      </c>
      <c r="K39" s="6">
        <v>10021</v>
      </c>
      <c r="L39" s="6">
        <v>7866</v>
      </c>
      <c r="M39" s="6">
        <v>5677</v>
      </c>
      <c r="N39" s="6">
        <v>6278</v>
      </c>
      <c r="O39" s="6">
        <v>9074</v>
      </c>
      <c r="P39" s="6">
        <v>7424</v>
      </c>
      <c r="Q39" s="6">
        <v>4407</v>
      </c>
      <c r="R39" s="6">
        <v>8574</v>
      </c>
      <c r="S39" s="6">
        <v>7153</v>
      </c>
      <c r="T39" s="6">
        <v>11413</v>
      </c>
      <c r="U39" s="6">
        <v>6923</v>
      </c>
      <c r="V39" s="6">
        <v>9578</v>
      </c>
      <c r="W39" s="16">
        <v>10339</v>
      </c>
      <c r="X39" s="16">
        <v>8652</v>
      </c>
      <c r="Y39" s="16">
        <v>4451</v>
      </c>
      <c r="Z39" s="16">
        <v>9762</v>
      </c>
      <c r="AA39" s="6">
        <f t="shared" si="6"/>
        <v>8284.1666666666661</v>
      </c>
      <c r="AB39" s="51">
        <f t="shared" si="7"/>
        <v>-0.46270998893471482</v>
      </c>
      <c r="AC39" s="21">
        <f t="shared" si="8"/>
        <v>1477.8333333333339</v>
      </c>
      <c r="AD39" s="8">
        <f t="shared" si="9"/>
        <v>-3194.8652042842455</v>
      </c>
      <c r="AE39" s="22">
        <f t="shared" si="14"/>
        <v>1478.2960433222686</v>
      </c>
      <c r="AF39" s="23"/>
      <c r="AG39" s="23" t="s">
        <v>46</v>
      </c>
      <c r="AI39" s="6">
        <f t="shared" si="10"/>
        <v>103673</v>
      </c>
      <c r="AJ39" s="6">
        <f t="shared" si="11"/>
        <v>89815</v>
      </c>
      <c r="AK39" s="31">
        <f t="shared" si="12"/>
        <v>-0.13367029023950305</v>
      </c>
      <c r="AL39" s="21">
        <f t="shared" si="13"/>
        <v>-13858</v>
      </c>
    </row>
    <row r="40" spans="1:38" x14ac:dyDescent="0.25">
      <c r="A40" s="13" t="s">
        <v>50</v>
      </c>
      <c r="B40" s="6">
        <v>1171</v>
      </c>
      <c r="C40" s="6">
        <v>1533</v>
      </c>
      <c r="D40" s="6">
        <v>1531</v>
      </c>
      <c r="E40" s="6">
        <v>2491</v>
      </c>
      <c r="F40" s="6">
        <v>2024</v>
      </c>
      <c r="G40" s="6">
        <v>2648</v>
      </c>
      <c r="H40" s="6">
        <v>1954</v>
      </c>
      <c r="I40" s="6">
        <v>3442</v>
      </c>
      <c r="J40" s="6">
        <v>2681</v>
      </c>
      <c r="K40" s="6">
        <v>3423</v>
      </c>
      <c r="L40" s="6">
        <v>2379</v>
      </c>
      <c r="M40" s="6">
        <v>3564</v>
      </c>
      <c r="N40" s="6">
        <v>3293</v>
      </c>
      <c r="O40" s="6">
        <v>1880</v>
      </c>
      <c r="P40" s="6">
        <v>4211</v>
      </c>
      <c r="Q40" s="6">
        <v>2406</v>
      </c>
      <c r="R40" s="6">
        <v>3367</v>
      </c>
      <c r="S40" s="6">
        <v>3301</v>
      </c>
      <c r="T40" s="6">
        <v>3428</v>
      </c>
      <c r="U40" s="6">
        <v>2985</v>
      </c>
      <c r="V40" s="6">
        <v>3568</v>
      </c>
      <c r="W40" s="16">
        <v>7651</v>
      </c>
      <c r="X40" s="16">
        <v>2848</v>
      </c>
      <c r="Y40" s="16">
        <v>1576</v>
      </c>
      <c r="Z40" s="16">
        <v>5008</v>
      </c>
      <c r="AA40" s="6">
        <f t="shared" si="6"/>
        <v>3939.3333333333335</v>
      </c>
      <c r="AB40" s="51">
        <f t="shared" si="7"/>
        <v>-0.59993230665087149</v>
      </c>
      <c r="AC40" s="21">
        <f t="shared" si="8"/>
        <v>1068.6666666666665</v>
      </c>
      <c r="AD40" s="8">
        <f t="shared" si="9"/>
        <v>-1782.312082745651</v>
      </c>
      <c r="AE40" s="22">
        <f t="shared" si="14"/>
        <v>1069.2665989733173</v>
      </c>
      <c r="AF40" s="23"/>
      <c r="AG40" s="23" t="s">
        <v>46</v>
      </c>
      <c r="AI40" s="6">
        <f t="shared" si="10"/>
        <v>25277</v>
      </c>
      <c r="AJ40" s="6">
        <f t="shared" si="11"/>
        <v>38938</v>
      </c>
      <c r="AK40" s="30">
        <f t="shared" si="12"/>
        <v>0.54045179412113775</v>
      </c>
      <c r="AL40" s="25">
        <f t="shared" si="13"/>
        <v>13661</v>
      </c>
    </row>
    <row r="41" spans="1:38" x14ac:dyDescent="0.25">
      <c r="A41" s="13" t="s">
        <v>51</v>
      </c>
      <c r="B41" s="6">
        <v>4304</v>
      </c>
      <c r="C41" s="6">
        <v>3369</v>
      </c>
      <c r="D41" s="6">
        <v>1390</v>
      </c>
      <c r="E41" s="6">
        <v>4085</v>
      </c>
      <c r="F41" s="6">
        <v>2985</v>
      </c>
      <c r="G41" s="6">
        <v>2681</v>
      </c>
      <c r="H41" s="6">
        <v>3678</v>
      </c>
      <c r="I41" s="6">
        <v>3789</v>
      </c>
      <c r="J41" s="6">
        <v>3269</v>
      </c>
      <c r="K41" s="6">
        <v>2728</v>
      </c>
      <c r="L41" s="6">
        <v>2601</v>
      </c>
      <c r="M41" s="6">
        <v>3297</v>
      </c>
      <c r="N41" s="6">
        <v>4019</v>
      </c>
      <c r="O41" s="6">
        <v>3516</v>
      </c>
      <c r="P41" s="6">
        <v>2083</v>
      </c>
      <c r="Q41" s="6">
        <v>2731</v>
      </c>
      <c r="R41" s="6">
        <v>3892</v>
      </c>
      <c r="S41" s="6">
        <v>2794</v>
      </c>
      <c r="T41" s="6">
        <v>3067</v>
      </c>
      <c r="U41" s="6">
        <v>2534</v>
      </c>
      <c r="V41" s="6">
        <v>2773</v>
      </c>
      <c r="W41" s="16">
        <v>2987</v>
      </c>
      <c r="X41" s="16">
        <v>3228</v>
      </c>
      <c r="Y41" s="16">
        <v>2721</v>
      </c>
      <c r="Z41" s="16">
        <v>2923</v>
      </c>
      <c r="AA41" s="6">
        <f t="shared" si="6"/>
        <v>2861</v>
      </c>
      <c r="AB41" s="51">
        <f t="shared" si="7"/>
        <v>-4.8933939182104202E-2</v>
      </c>
      <c r="AC41" s="21">
        <f t="shared" si="8"/>
        <v>62</v>
      </c>
      <c r="AD41" s="24">
        <f t="shared" si="9"/>
        <v>-1268.0142857142846</v>
      </c>
      <c r="AE41" s="26">
        <f t="shared" si="14"/>
        <v>62.048933939182106</v>
      </c>
      <c r="AF41" s="27"/>
      <c r="AG41" s="27" t="s">
        <v>42</v>
      </c>
      <c r="AI41" s="6">
        <f t="shared" si="10"/>
        <v>34879</v>
      </c>
      <c r="AJ41" s="6">
        <f t="shared" si="11"/>
        <v>33624</v>
      </c>
      <c r="AK41" s="31">
        <f t="shared" si="12"/>
        <v>-3.5981536167894679E-2</v>
      </c>
      <c r="AL41" s="21">
        <f t="shared" si="13"/>
        <v>-1255</v>
      </c>
    </row>
    <row r="42" spans="1:38" x14ac:dyDescent="0.25">
      <c r="A42" s="13" t="s">
        <v>52</v>
      </c>
      <c r="B42" s="6">
        <v>2982</v>
      </c>
      <c r="C42" s="6">
        <v>3568</v>
      </c>
      <c r="D42" s="6">
        <v>1176</v>
      </c>
      <c r="E42" s="6">
        <v>4269</v>
      </c>
      <c r="F42" s="6">
        <v>1802</v>
      </c>
      <c r="G42" s="6">
        <v>2305</v>
      </c>
      <c r="H42" s="6">
        <v>2498</v>
      </c>
      <c r="I42" s="6">
        <v>3889</v>
      </c>
      <c r="J42" s="6">
        <v>2928</v>
      </c>
      <c r="K42" s="6">
        <v>1676</v>
      </c>
      <c r="L42" s="6">
        <v>1826</v>
      </c>
      <c r="M42" s="6">
        <v>2624</v>
      </c>
      <c r="N42" s="6">
        <v>2836</v>
      </c>
      <c r="O42" s="6">
        <v>2803</v>
      </c>
      <c r="P42" s="6">
        <v>1946</v>
      </c>
      <c r="Q42" s="6">
        <v>2752</v>
      </c>
      <c r="R42" s="6">
        <v>3399</v>
      </c>
      <c r="S42" s="6">
        <v>2060</v>
      </c>
      <c r="T42" s="6">
        <v>2785</v>
      </c>
      <c r="U42" s="6">
        <v>2427</v>
      </c>
      <c r="V42" s="6">
        <v>2906</v>
      </c>
      <c r="W42" s="16">
        <v>3138</v>
      </c>
      <c r="X42" s="16">
        <v>2786</v>
      </c>
      <c r="Y42" s="16">
        <v>1896</v>
      </c>
      <c r="Z42" s="16">
        <v>3619</v>
      </c>
      <c r="AA42" s="6">
        <f t="shared" si="6"/>
        <v>2795.3333333333335</v>
      </c>
      <c r="AB42" s="51">
        <f t="shared" si="7"/>
        <v>-0.32172668733603627</v>
      </c>
      <c r="AC42" s="21">
        <f t="shared" si="8"/>
        <v>823.66666666666652</v>
      </c>
      <c r="AD42" s="24">
        <f t="shared" si="9"/>
        <v>-2561.144057326414</v>
      </c>
      <c r="AE42" s="26">
        <f t="shared" si="14"/>
        <v>823.9883933540026</v>
      </c>
      <c r="AF42" s="27"/>
      <c r="AG42" s="27" t="s">
        <v>42</v>
      </c>
      <c r="AI42" s="6">
        <f t="shared" si="10"/>
        <v>28919</v>
      </c>
      <c r="AJ42" s="6">
        <f t="shared" si="11"/>
        <v>29838</v>
      </c>
      <c r="AK42" s="31">
        <f t="shared" si="12"/>
        <v>3.1778415574535757E-2</v>
      </c>
      <c r="AL42" s="21">
        <f t="shared" si="13"/>
        <v>919</v>
      </c>
    </row>
    <row r="43" spans="1:38" x14ac:dyDescent="0.25">
      <c r="A43" s="13" t="s">
        <v>17</v>
      </c>
      <c r="B43" s="6">
        <v>6405</v>
      </c>
      <c r="C43" s="6">
        <v>641</v>
      </c>
      <c r="D43" s="6">
        <v>416</v>
      </c>
      <c r="E43" s="6">
        <v>2873</v>
      </c>
      <c r="F43" s="6">
        <v>462</v>
      </c>
      <c r="G43" s="6">
        <v>586</v>
      </c>
      <c r="H43" s="6">
        <v>284</v>
      </c>
      <c r="I43" s="6">
        <v>490</v>
      </c>
      <c r="J43" s="6">
        <v>808</v>
      </c>
      <c r="K43" s="6">
        <v>976</v>
      </c>
      <c r="L43" s="6">
        <v>640</v>
      </c>
      <c r="M43" s="6">
        <v>-37</v>
      </c>
      <c r="N43" s="6">
        <v>586</v>
      </c>
      <c r="O43" s="6">
        <v>140</v>
      </c>
      <c r="P43" s="6">
        <v>-673</v>
      </c>
      <c r="Q43" s="6">
        <v>-184</v>
      </c>
      <c r="R43" s="6">
        <v>243</v>
      </c>
      <c r="S43" s="6">
        <v>631</v>
      </c>
      <c r="T43" s="6">
        <v>509</v>
      </c>
      <c r="U43" s="6">
        <v>436</v>
      </c>
      <c r="V43" s="6">
        <v>113</v>
      </c>
      <c r="W43" s="16">
        <v>672</v>
      </c>
      <c r="X43" s="16">
        <v>926</v>
      </c>
      <c r="Y43" s="16">
        <v>150</v>
      </c>
      <c r="Z43" s="16">
        <v>433</v>
      </c>
      <c r="AA43" s="6">
        <f t="shared" si="6"/>
        <v>455</v>
      </c>
      <c r="AB43" s="51">
        <f t="shared" si="7"/>
        <v>-0.67032967032967039</v>
      </c>
      <c r="AC43" s="21">
        <f t="shared" si="8"/>
        <v>-22</v>
      </c>
      <c r="AD43" s="24">
        <f t="shared" si="9"/>
        <v>31.819672131147541</v>
      </c>
      <c r="AE43" s="26">
        <f t="shared" si="14"/>
        <v>-21.329670329670328</v>
      </c>
      <c r="AF43" s="27"/>
      <c r="AG43" s="27" t="s">
        <v>42</v>
      </c>
      <c r="AI43" s="6">
        <f t="shared" si="10"/>
        <v>14581</v>
      </c>
      <c r="AJ43" s="6">
        <f t="shared" si="11"/>
        <v>3399</v>
      </c>
      <c r="AK43" s="31">
        <f t="shared" si="12"/>
        <v>-0.76688841643234351</v>
      </c>
      <c r="AL43" s="21">
        <f t="shared" si="13"/>
        <v>-11182</v>
      </c>
    </row>
    <row r="44" spans="1:38" x14ac:dyDescent="0.25">
      <c r="A44" s="13" t="s">
        <v>18</v>
      </c>
      <c r="B44" s="6"/>
      <c r="C44" s="6"/>
      <c r="D44" s="6"/>
      <c r="E44" s="6"/>
      <c r="F44" s="6">
        <v>357</v>
      </c>
      <c r="G44" s="6">
        <v>4637</v>
      </c>
      <c r="H44" s="6">
        <v>765</v>
      </c>
      <c r="I44" s="6">
        <v>297</v>
      </c>
      <c r="J44" s="6">
        <v>287</v>
      </c>
      <c r="K44" s="6">
        <v>258</v>
      </c>
      <c r="L44" s="6">
        <v>229</v>
      </c>
      <c r="M44" s="6">
        <v>138</v>
      </c>
      <c r="N44" s="6">
        <v>481</v>
      </c>
      <c r="O44" s="6">
        <v>835</v>
      </c>
      <c r="P44" s="6">
        <v>924</v>
      </c>
      <c r="Q44" s="6">
        <v>1003</v>
      </c>
      <c r="R44" s="6">
        <v>1262</v>
      </c>
      <c r="S44" s="6">
        <v>1225</v>
      </c>
      <c r="T44" s="6">
        <v>305</v>
      </c>
      <c r="U44" s="6">
        <v>348</v>
      </c>
      <c r="V44" s="6">
        <v>1969</v>
      </c>
      <c r="W44" s="16">
        <v>3090</v>
      </c>
      <c r="X44" s="16">
        <v>1005</v>
      </c>
      <c r="Y44" s="16">
        <v>1032</v>
      </c>
      <c r="Z44" s="16">
        <v>2015</v>
      </c>
      <c r="AA44" s="6">
        <f t="shared" si="6"/>
        <v>1576.5</v>
      </c>
      <c r="AB44" s="51">
        <f t="shared" si="7"/>
        <v>-0.34538534728829684</v>
      </c>
      <c r="AC44" s="21">
        <f t="shared" si="8"/>
        <v>438.5</v>
      </c>
      <c r="AD44" s="8">
        <f t="shared" si="9"/>
        <v>-1270.5964187327825</v>
      </c>
      <c r="AE44" s="22">
        <f t="shared" si="14"/>
        <v>438.8453853472883</v>
      </c>
      <c r="AF44" s="23"/>
      <c r="AG44" s="23" t="s">
        <v>46</v>
      </c>
      <c r="AI44" s="6">
        <f t="shared" si="10"/>
        <v>6830</v>
      </c>
      <c r="AJ44" s="6">
        <f t="shared" si="11"/>
        <v>12447</v>
      </c>
      <c r="AK44" s="30">
        <f t="shared" si="12"/>
        <v>0.82240117130307477</v>
      </c>
      <c r="AL44" s="25">
        <f t="shared" si="13"/>
        <v>5617</v>
      </c>
    </row>
    <row r="45" spans="1:38" x14ac:dyDescent="0.25">
      <c r="A45" s="13" t="s">
        <v>53</v>
      </c>
      <c r="B45" s="6">
        <v>1692</v>
      </c>
      <c r="C45" s="6">
        <v>1237</v>
      </c>
      <c r="D45" s="6">
        <v>767</v>
      </c>
      <c r="E45" s="6">
        <v>1769</v>
      </c>
      <c r="F45" s="6">
        <v>1453</v>
      </c>
      <c r="G45" s="6">
        <v>854</v>
      </c>
      <c r="H45" s="6">
        <v>2219</v>
      </c>
      <c r="I45" s="6">
        <v>1595</v>
      </c>
      <c r="J45" s="6">
        <v>1985</v>
      </c>
      <c r="K45" s="6">
        <v>1177</v>
      </c>
      <c r="L45" s="6">
        <v>2642</v>
      </c>
      <c r="M45" s="6">
        <v>1233</v>
      </c>
      <c r="N45" s="6">
        <v>1253</v>
      </c>
      <c r="O45" s="6">
        <v>1748</v>
      </c>
      <c r="P45" s="6">
        <v>1954</v>
      </c>
      <c r="Q45" s="6">
        <v>1170</v>
      </c>
      <c r="R45" s="6">
        <v>1913</v>
      </c>
      <c r="S45" s="6">
        <v>1384</v>
      </c>
      <c r="T45" s="6">
        <v>2003</v>
      </c>
      <c r="U45" s="6">
        <v>1657</v>
      </c>
      <c r="V45" s="6">
        <v>1982</v>
      </c>
      <c r="W45" s="16">
        <v>2167</v>
      </c>
      <c r="X45" s="16">
        <v>1658</v>
      </c>
      <c r="Y45" s="16">
        <v>1106</v>
      </c>
      <c r="Z45" s="16">
        <v>2429</v>
      </c>
      <c r="AA45" s="6">
        <f t="shared" si="6"/>
        <v>1833.1666666666667</v>
      </c>
      <c r="AB45" s="51">
        <f t="shared" si="7"/>
        <v>-0.39667242476588782</v>
      </c>
      <c r="AC45" s="21">
        <f t="shared" si="8"/>
        <v>595.83333333333326</v>
      </c>
      <c r="AD45" s="8">
        <f t="shared" si="9"/>
        <v>-1503.0790358316142</v>
      </c>
      <c r="AE45" s="22">
        <f t="shared" si="14"/>
        <v>596.2300057580992</v>
      </c>
      <c r="AF45" s="23"/>
      <c r="AG45" s="23" t="s">
        <v>46</v>
      </c>
      <c r="AI45" s="6">
        <f t="shared" si="10"/>
        <v>17390</v>
      </c>
      <c r="AJ45" s="6">
        <f t="shared" si="11"/>
        <v>18889</v>
      </c>
      <c r="AK45" s="30">
        <f t="shared" si="12"/>
        <v>8.6198964922369115E-2</v>
      </c>
      <c r="AL45" s="25">
        <f t="shared" si="13"/>
        <v>1499</v>
      </c>
    </row>
    <row r="46" spans="1:38" x14ac:dyDescent="0.25">
      <c r="A46" s="13" t="s">
        <v>20</v>
      </c>
      <c r="B46" s="6">
        <v>1720</v>
      </c>
      <c r="C46" s="6">
        <v>1916</v>
      </c>
      <c r="D46" s="6">
        <v>777</v>
      </c>
      <c r="E46" s="6">
        <v>2025</v>
      </c>
      <c r="F46" s="6">
        <v>1895</v>
      </c>
      <c r="G46" s="6">
        <v>1114</v>
      </c>
      <c r="H46" s="6">
        <v>2217</v>
      </c>
      <c r="I46" s="6">
        <v>1878</v>
      </c>
      <c r="J46" s="6">
        <v>1495</v>
      </c>
      <c r="K46" s="6">
        <v>1706</v>
      </c>
      <c r="L46" s="6">
        <v>1564</v>
      </c>
      <c r="M46" s="6">
        <v>682</v>
      </c>
      <c r="N46" s="6">
        <v>2424</v>
      </c>
      <c r="O46" s="6">
        <v>144</v>
      </c>
      <c r="P46" s="6">
        <v>-162</v>
      </c>
      <c r="Q46" s="6">
        <v>3</v>
      </c>
      <c r="R46" s="6">
        <v>-57</v>
      </c>
      <c r="S46" s="6">
        <v>835</v>
      </c>
      <c r="T46" s="6">
        <v>2033</v>
      </c>
      <c r="U46" s="6">
        <v>362</v>
      </c>
      <c r="V46" s="6">
        <v>3064</v>
      </c>
      <c r="W46" s="16">
        <v>3539</v>
      </c>
      <c r="X46" s="16">
        <v>696</v>
      </c>
      <c r="Y46" s="16">
        <v>850</v>
      </c>
      <c r="Z46" s="16">
        <v>642</v>
      </c>
      <c r="AA46" s="6">
        <f t="shared" si="6"/>
        <v>1525.5</v>
      </c>
      <c r="AB46" s="51">
        <f t="shared" si="7"/>
        <v>-0.44280563749590296</v>
      </c>
      <c r="AC46" s="21">
        <f t="shared" si="8"/>
        <v>-883.5</v>
      </c>
      <c r="AD46" s="8">
        <f t="shared" si="9"/>
        <v>1994.2320503330868</v>
      </c>
      <c r="AE46" s="22">
        <f t="shared" si="14"/>
        <v>-883.05719436250411</v>
      </c>
      <c r="AF46" s="23"/>
      <c r="AG46" s="23" t="s">
        <v>46</v>
      </c>
      <c r="AI46" s="6">
        <f t="shared" si="10"/>
        <v>18307</v>
      </c>
      <c r="AJ46" s="6">
        <f t="shared" si="11"/>
        <v>12881</v>
      </c>
      <c r="AK46" s="31">
        <f t="shared" si="12"/>
        <v>-0.29638935926148469</v>
      </c>
      <c r="AL46" s="21">
        <f t="shared" si="13"/>
        <v>-5426</v>
      </c>
    </row>
    <row r="47" spans="1:38" x14ac:dyDescent="0.25">
      <c r="A47" s="13" t="s">
        <v>21</v>
      </c>
      <c r="B47" s="6"/>
      <c r="C47" s="6"/>
      <c r="D47" s="6"/>
      <c r="E47" s="6"/>
      <c r="F47" s="6"/>
      <c r="G47" s="6"/>
      <c r="H47" s="6"/>
      <c r="I47" s="6"/>
      <c r="J47" s="6">
        <v>864</v>
      </c>
      <c r="K47" s="6">
        <v>4674</v>
      </c>
      <c r="L47" s="6">
        <v>1569</v>
      </c>
      <c r="M47" s="6">
        <v>1687</v>
      </c>
      <c r="N47" s="6">
        <v>818</v>
      </c>
      <c r="O47" s="6">
        <v>825</v>
      </c>
      <c r="P47" s="6">
        <v>489</v>
      </c>
      <c r="Q47" s="6">
        <v>782</v>
      </c>
      <c r="R47" s="6">
        <v>537</v>
      </c>
      <c r="S47" s="6">
        <v>857</v>
      </c>
      <c r="T47" s="6">
        <v>891</v>
      </c>
      <c r="U47" s="6">
        <v>1123</v>
      </c>
      <c r="V47" s="6">
        <v>739</v>
      </c>
      <c r="W47" s="16">
        <v>1066</v>
      </c>
      <c r="X47" s="16">
        <v>1933</v>
      </c>
      <c r="Y47" s="16">
        <v>689</v>
      </c>
      <c r="Z47" s="16">
        <v>1139</v>
      </c>
      <c r="AA47" s="6">
        <f t="shared" si="6"/>
        <v>1114.8333333333333</v>
      </c>
      <c r="AB47" s="51">
        <f t="shared" si="7"/>
        <v>-0.38197039916280451</v>
      </c>
      <c r="AC47" s="21">
        <f t="shared" si="8"/>
        <v>24.166666666666742</v>
      </c>
      <c r="AD47" s="24">
        <f t="shared" si="9"/>
        <v>-64.268427919113066</v>
      </c>
      <c r="AE47" s="26">
        <f t="shared" si="14"/>
        <v>24.548637065829546</v>
      </c>
      <c r="AF47" s="27"/>
      <c r="AG47" s="27" t="s">
        <v>42</v>
      </c>
      <c r="AI47" s="6">
        <f>SUM(B47:L47)</f>
        <v>7107</v>
      </c>
      <c r="AJ47" s="6">
        <f>SUM(N47:X47)</f>
        <v>10060</v>
      </c>
      <c r="AK47" s="30">
        <f t="shared" si="12"/>
        <v>0.41550583931335305</v>
      </c>
      <c r="AL47" s="25">
        <f t="shared" si="13"/>
        <v>2953</v>
      </c>
    </row>
    <row r="48" spans="1:38" x14ac:dyDescent="0.25">
      <c r="A48" s="13" t="s">
        <v>54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172</v>
      </c>
      <c r="O48" s="6">
        <v>1713</v>
      </c>
      <c r="P48" s="6">
        <v>103</v>
      </c>
      <c r="Q48" s="6">
        <v>62</v>
      </c>
      <c r="R48" s="6">
        <v>1275</v>
      </c>
      <c r="S48" s="6">
        <v>365</v>
      </c>
      <c r="T48" s="6">
        <v>277</v>
      </c>
      <c r="U48" s="6">
        <v>53</v>
      </c>
      <c r="V48" s="6">
        <v>-172</v>
      </c>
      <c r="W48" s="16">
        <v>206</v>
      </c>
      <c r="X48" s="16">
        <v>-166</v>
      </c>
      <c r="Y48" s="16">
        <v>19</v>
      </c>
      <c r="Z48" s="16">
        <v>136</v>
      </c>
      <c r="AA48" s="6">
        <f t="shared" si="6"/>
        <v>12.666666666666666</v>
      </c>
      <c r="AB48" s="51">
        <f t="shared" si="7"/>
        <v>0.5</v>
      </c>
      <c r="AC48" s="21">
        <f t="shared" si="8"/>
        <v>123.33333333333333</v>
      </c>
      <c r="AD48" s="8">
        <f t="shared" si="9"/>
        <v>245.66666666666666</v>
      </c>
      <c r="AE48" s="22">
        <f t="shared" si="14"/>
        <v>122.83333333333333</v>
      </c>
      <c r="AF48" s="23"/>
      <c r="AG48" s="23" t="s">
        <v>46</v>
      </c>
      <c r="AI48" s="6">
        <f t="shared" si="10"/>
        <v>0</v>
      </c>
      <c r="AJ48" s="6">
        <f>SUM(N48:X48)</f>
        <v>3888</v>
      </c>
      <c r="AK48" s="30" t="e">
        <f t="shared" si="12"/>
        <v>#DIV/0!</v>
      </c>
      <c r="AL48" s="25">
        <f t="shared" si="13"/>
        <v>3888</v>
      </c>
    </row>
    <row r="49" spans="1:33" x14ac:dyDescent="0.25">
      <c r="A49" s="13" t="s">
        <v>23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158</v>
      </c>
      <c r="O49" s="6">
        <v>112</v>
      </c>
      <c r="P49" s="6">
        <v>173</v>
      </c>
      <c r="Q49" s="6">
        <v>114</v>
      </c>
      <c r="R49" s="6">
        <v>258</v>
      </c>
      <c r="S49" s="6">
        <v>48</v>
      </c>
      <c r="T49" s="6">
        <v>47</v>
      </c>
      <c r="U49" s="6">
        <v>644</v>
      </c>
      <c r="V49" s="6">
        <v>656</v>
      </c>
      <c r="W49" s="16">
        <v>78</v>
      </c>
      <c r="X49" s="16">
        <v>215</v>
      </c>
      <c r="Y49" s="16">
        <v>69</v>
      </c>
      <c r="Z49" s="16">
        <v>84</v>
      </c>
      <c r="AA49" s="6">
        <f t="shared" si="6"/>
        <v>291</v>
      </c>
      <c r="AB49" s="51">
        <f t="shared" si="7"/>
        <v>-0.76288659793814428</v>
      </c>
      <c r="AC49" s="21">
        <f t="shared" si="8"/>
        <v>-207</v>
      </c>
      <c r="AD49" s="8"/>
      <c r="AE49" s="22"/>
      <c r="AF49" s="23"/>
      <c r="AG49" s="23" t="s">
        <v>46</v>
      </c>
    </row>
    <row r="50" spans="1:33" x14ac:dyDescent="0.25">
      <c r="A50" s="13" t="s">
        <v>24</v>
      </c>
      <c r="B50" s="6">
        <v>758</v>
      </c>
      <c r="C50" s="6">
        <v>251</v>
      </c>
      <c r="D50" s="6">
        <v>200</v>
      </c>
      <c r="E50" s="6">
        <v>1091</v>
      </c>
      <c r="F50" s="6">
        <v>892</v>
      </c>
      <c r="G50" s="6">
        <v>780</v>
      </c>
      <c r="H50" s="6">
        <v>721</v>
      </c>
      <c r="I50" s="6">
        <v>229</v>
      </c>
      <c r="J50" s="6">
        <v>148</v>
      </c>
      <c r="K50" s="6">
        <v>1837</v>
      </c>
      <c r="L50" s="6">
        <v>1</v>
      </c>
      <c r="M50" s="6">
        <v>555</v>
      </c>
      <c r="N50" s="6"/>
      <c r="O50" s="6"/>
      <c r="P50" s="6"/>
      <c r="Q50" s="6"/>
      <c r="R50" s="6"/>
      <c r="S50" s="6"/>
      <c r="T50" s="6"/>
      <c r="U50" s="6">
        <v>1660</v>
      </c>
      <c r="V50" s="6">
        <v>100</v>
      </c>
      <c r="W50" s="16">
        <v>120</v>
      </c>
      <c r="X50" s="16">
        <v>183</v>
      </c>
      <c r="Y50" s="16">
        <v>74</v>
      </c>
      <c r="Z50" s="16">
        <v>82</v>
      </c>
      <c r="AA50" s="6">
        <f t="shared" si="6"/>
        <v>369.83333333333331</v>
      </c>
      <c r="AB50" s="51">
        <f t="shared" si="7"/>
        <v>-0.79990986931050023</v>
      </c>
      <c r="AC50" s="21">
        <f t="shared" si="8"/>
        <v>-287.83333333333331</v>
      </c>
      <c r="AD50" s="8">
        <f t="shared" si="9"/>
        <v>358.83220657276991</v>
      </c>
      <c r="AE50" s="9">
        <f t="shared" si="14"/>
        <v>-287.0334234640228</v>
      </c>
    </row>
    <row r="51" spans="1:33" x14ac:dyDescent="0.25">
      <c r="A51" s="13" t="s">
        <v>25</v>
      </c>
      <c r="B51" s="6">
        <v>-6</v>
      </c>
      <c r="C51" s="6">
        <v>-8</v>
      </c>
      <c r="D51" s="6"/>
      <c r="E51" s="6">
        <v>-85</v>
      </c>
      <c r="F51" s="6">
        <v>-24</v>
      </c>
      <c r="G51" s="6">
        <v>-13</v>
      </c>
      <c r="H51" s="6">
        <v>-8</v>
      </c>
      <c r="I51" s="6">
        <v>-3</v>
      </c>
      <c r="J51" s="6">
        <v>-1</v>
      </c>
      <c r="K51" s="6">
        <v>-11</v>
      </c>
      <c r="L51" s="6">
        <v>-5</v>
      </c>
      <c r="M51" s="6">
        <v>-3</v>
      </c>
      <c r="N51" s="6">
        <v>542</v>
      </c>
      <c r="O51" s="6">
        <v>957</v>
      </c>
      <c r="P51" s="6">
        <v>751</v>
      </c>
      <c r="Q51" s="6"/>
      <c r="R51" s="6">
        <v>-2</v>
      </c>
      <c r="S51" s="6"/>
      <c r="T51" s="6"/>
      <c r="U51" s="6"/>
      <c r="V51" s="6"/>
      <c r="W51" s="16"/>
      <c r="X51" s="16"/>
      <c r="Y51" s="16"/>
      <c r="Z51" s="16"/>
      <c r="AA51" s="6">
        <f t="shared" si="6"/>
        <v>0</v>
      </c>
      <c r="AB51" s="51" t="e">
        <f t="shared" si="7"/>
        <v>#DIV/0!</v>
      </c>
      <c r="AC51" s="21">
        <f t="shared" si="8"/>
        <v>0</v>
      </c>
      <c r="AD51" s="8" t="e">
        <f t="shared" si="9"/>
        <v>#DIV/0!</v>
      </c>
      <c r="AE51" s="9" t="e">
        <f t="shared" si="14"/>
        <v>#DIV/0!</v>
      </c>
    </row>
    <row r="52" spans="1:33" x14ac:dyDescent="0.25">
      <c r="A52" s="13" t="s">
        <v>26</v>
      </c>
      <c r="B52" s="6"/>
      <c r="C52" s="6">
        <v>-1</v>
      </c>
      <c r="D52" s="6"/>
      <c r="E52" s="6"/>
      <c r="F52" s="6">
        <v>-10</v>
      </c>
      <c r="G52" s="6">
        <v>-12</v>
      </c>
      <c r="H52" s="6">
        <v>-14</v>
      </c>
      <c r="I52" s="6">
        <v>-4</v>
      </c>
      <c r="J52" s="6">
        <v>-8</v>
      </c>
      <c r="K52" s="6">
        <v>-54</v>
      </c>
      <c r="L52" s="6">
        <v>-26</v>
      </c>
      <c r="M52" s="6">
        <v>-12</v>
      </c>
      <c r="N52" s="6"/>
      <c r="O52" s="6"/>
      <c r="P52" s="6"/>
      <c r="Q52" s="6"/>
      <c r="R52" s="6"/>
      <c r="S52" s="6"/>
      <c r="T52" s="6"/>
      <c r="U52" s="6"/>
      <c r="V52" s="6"/>
      <c r="W52" s="16"/>
      <c r="X52" s="16"/>
      <c r="Y52" s="16"/>
      <c r="Z52" s="16"/>
      <c r="AA52" s="6">
        <f t="shared" si="6"/>
        <v>0</v>
      </c>
      <c r="AB52" s="51" t="e">
        <f t="shared" si="7"/>
        <v>#DIV/0!</v>
      </c>
      <c r="AC52" s="21">
        <f t="shared" si="8"/>
        <v>0</v>
      </c>
      <c r="AD52" s="8" t="e">
        <f t="shared" si="9"/>
        <v>#DIV/0!</v>
      </c>
      <c r="AE52" s="9" t="e">
        <f t="shared" si="14"/>
        <v>#DIV/0!</v>
      </c>
    </row>
    <row r="53" spans="1:33" x14ac:dyDescent="0.25">
      <c r="A53" s="13" t="s">
        <v>27</v>
      </c>
      <c r="B53" s="6"/>
      <c r="C53" s="6"/>
      <c r="D53" s="6"/>
      <c r="E53" s="6"/>
      <c r="F53" s="6"/>
      <c r="G53" s="6">
        <v>10686</v>
      </c>
      <c r="H53" s="6"/>
      <c r="I53" s="6"/>
      <c r="J53" s="6"/>
      <c r="K53" s="6"/>
      <c r="L53" s="6">
        <v>10632</v>
      </c>
      <c r="M53" s="6"/>
      <c r="N53" s="6">
        <v>-1</v>
      </c>
      <c r="O53" s="6"/>
      <c r="P53" s="6"/>
      <c r="Q53" s="6"/>
      <c r="R53" s="6"/>
      <c r="S53" s="6"/>
      <c r="T53" s="6"/>
      <c r="U53" s="6"/>
      <c r="V53" s="6"/>
      <c r="W53" s="16"/>
      <c r="X53" s="16"/>
      <c r="Y53" s="16"/>
      <c r="Z53" s="16"/>
      <c r="AA53" s="6">
        <f t="shared" si="6"/>
        <v>0</v>
      </c>
      <c r="AB53" s="51" t="e">
        <f t="shared" si="7"/>
        <v>#DIV/0!</v>
      </c>
      <c r="AC53" s="21">
        <f t="shared" si="8"/>
        <v>0</v>
      </c>
      <c r="AD53" s="8" t="e">
        <f t="shared" si="9"/>
        <v>#DIV/0!</v>
      </c>
      <c r="AE53" s="9" t="e">
        <f t="shared" si="14"/>
        <v>#DIV/0!</v>
      </c>
    </row>
    <row r="54" spans="1:33" x14ac:dyDescent="0.25">
      <c r="A54" s="13" t="s">
        <v>28</v>
      </c>
      <c r="B54" s="6">
        <v>492</v>
      </c>
      <c r="C54" s="6">
        <v>79</v>
      </c>
      <c r="D54" s="6">
        <v>295</v>
      </c>
      <c r="E54" s="6">
        <v>468</v>
      </c>
      <c r="F54" s="6">
        <v>144</v>
      </c>
      <c r="G54" s="6">
        <v>204</v>
      </c>
      <c r="H54" s="6">
        <v>202</v>
      </c>
      <c r="I54" s="6">
        <v>68</v>
      </c>
      <c r="J54" s="6">
        <v>69</v>
      </c>
      <c r="K54" s="6">
        <v>111</v>
      </c>
      <c r="L54" s="6">
        <v>89</v>
      </c>
      <c r="M54" s="6">
        <v>98</v>
      </c>
      <c r="N54" s="6"/>
      <c r="O54" s="6"/>
      <c r="P54" s="6"/>
      <c r="Q54" s="6"/>
      <c r="R54" s="6">
        <v>10789</v>
      </c>
      <c r="S54" s="6"/>
      <c r="T54" s="6">
        <v>0</v>
      </c>
      <c r="U54" s="6"/>
      <c r="V54" s="6"/>
      <c r="W54" s="16">
        <v>9874</v>
      </c>
      <c r="X54" s="16"/>
      <c r="Y54" s="16"/>
      <c r="Z54" s="16"/>
      <c r="AA54" s="6">
        <f t="shared" si="6"/>
        <v>1645.6666666666667</v>
      </c>
      <c r="AB54" s="51">
        <f t="shared" si="7"/>
        <v>-1</v>
      </c>
      <c r="AC54" s="21">
        <f t="shared" si="8"/>
        <v>-1645.6666666666667</v>
      </c>
      <c r="AD54" s="8">
        <f t="shared" si="9"/>
        <v>1644.6666666666667</v>
      </c>
      <c r="AE54" s="9">
        <f t="shared" si="14"/>
        <v>-1644.6666666666667</v>
      </c>
    </row>
    <row r="55" spans="1:33" x14ac:dyDescent="0.25">
      <c r="A55" s="13" t="s">
        <v>55</v>
      </c>
      <c r="B55" s="6">
        <v>21</v>
      </c>
      <c r="C55" s="6">
        <v>-21</v>
      </c>
      <c r="D55" s="6">
        <v>-86</v>
      </c>
      <c r="E55" s="6">
        <v>-230</v>
      </c>
      <c r="F55" s="6">
        <v>-14</v>
      </c>
      <c r="G55" s="6">
        <v>-24</v>
      </c>
      <c r="H55" s="6">
        <v>-263</v>
      </c>
      <c r="I55" s="6">
        <v>-191</v>
      </c>
      <c r="J55" s="6">
        <v>-11</v>
      </c>
      <c r="K55" s="6">
        <v>-9</v>
      </c>
      <c r="L55" s="6"/>
      <c r="M55" s="6">
        <v>-2</v>
      </c>
      <c r="N55" s="6">
        <v>-2</v>
      </c>
      <c r="O55" s="6"/>
      <c r="P55" s="6"/>
      <c r="Q55" s="6"/>
      <c r="R55" s="6"/>
      <c r="S55" s="6"/>
      <c r="T55" s="6"/>
      <c r="U55" s="6"/>
      <c r="V55" s="6"/>
      <c r="W55" s="16"/>
      <c r="X55" s="16"/>
      <c r="Y55" s="16"/>
      <c r="Z55" s="16"/>
      <c r="AA55" s="6">
        <f t="shared" si="6"/>
        <v>0</v>
      </c>
      <c r="AB55" s="51" t="e">
        <f t="shared" si="7"/>
        <v>#DIV/0!</v>
      </c>
      <c r="AC55" s="21">
        <f t="shared" si="8"/>
        <v>0</v>
      </c>
      <c r="AD55" s="8" t="e">
        <f t="shared" si="9"/>
        <v>#DIV/0!</v>
      </c>
      <c r="AE55" s="9" t="e">
        <f t="shared" si="14"/>
        <v>#DIV/0!</v>
      </c>
    </row>
    <row r="56" spans="1:33" x14ac:dyDescent="0.25">
      <c r="A56" s="13" t="s">
        <v>31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>
        <v>0</v>
      </c>
      <c r="W56" s="16"/>
      <c r="AA56" s="6">
        <f t="shared" si="6"/>
        <v>0</v>
      </c>
      <c r="AB56" s="51" t="e">
        <f t="shared" si="7"/>
        <v>#DIV/0!</v>
      </c>
      <c r="AC56" s="21">
        <f t="shared" si="8"/>
        <v>0</v>
      </c>
      <c r="AD56" s="8"/>
      <c r="AE56" s="9"/>
    </row>
    <row r="57" spans="1:33" x14ac:dyDescent="0.25">
      <c r="A57" s="13" t="s">
        <v>30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</v>
      </c>
      <c r="U57" s="6"/>
      <c r="V57" s="6">
        <v>0</v>
      </c>
      <c r="W57" s="6"/>
      <c r="X57" s="6"/>
      <c r="Y57" s="6"/>
      <c r="Z57" s="6"/>
      <c r="AA57" s="6">
        <f t="shared" si="6"/>
        <v>0</v>
      </c>
      <c r="AB57" s="51" t="e">
        <f t="shared" si="7"/>
        <v>#DIV/0!</v>
      </c>
      <c r="AC57" s="21">
        <f t="shared" si="8"/>
        <v>0</v>
      </c>
      <c r="AD57" s="8"/>
      <c r="AE57" s="9"/>
    </row>
    <row r="58" spans="1:33" x14ac:dyDescent="0.25">
      <c r="A58" s="13" t="s">
        <v>32</v>
      </c>
      <c r="B58" s="6">
        <v>-2</v>
      </c>
      <c r="C58" s="6">
        <v>-12</v>
      </c>
      <c r="D58" s="6">
        <v>-4</v>
      </c>
      <c r="E58" s="6">
        <v>-22</v>
      </c>
      <c r="F58" s="6">
        <v>-14</v>
      </c>
      <c r="G58" s="6">
        <v>-26</v>
      </c>
      <c r="H58" s="6">
        <v>-16</v>
      </c>
      <c r="I58" s="6">
        <v>-9</v>
      </c>
      <c r="J58" s="6">
        <v>-20</v>
      </c>
      <c r="K58" s="6">
        <v>-37</v>
      </c>
      <c r="L58" s="6">
        <v>-17</v>
      </c>
      <c r="M58" s="6">
        <v>-18</v>
      </c>
      <c r="N58" s="6">
        <v>-11</v>
      </c>
      <c r="O58" s="6">
        <v>-73</v>
      </c>
      <c r="P58" s="6">
        <v>-24</v>
      </c>
      <c r="Q58" s="6">
        <v>-12</v>
      </c>
      <c r="R58" s="6">
        <v>-36</v>
      </c>
      <c r="S58" s="6">
        <v>-17</v>
      </c>
      <c r="T58" s="6">
        <v>-39</v>
      </c>
      <c r="U58" s="6">
        <v>-58</v>
      </c>
      <c r="V58" s="6">
        <v>-35</v>
      </c>
      <c r="W58" s="16">
        <v>-22</v>
      </c>
      <c r="X58">
        <v>-15</v>
      </c>
      <c r="Y58">
        <v>-62</v>
      </c>
      <c r="Z58" s="16">
        <v>-25</v>
      </c>
      <c r="AA58" s="6">
        <f t="shared" si="6"/>
        <v>-36.166666666666664</v>
      </c>
      <c r="AB58" s="51">
        <f t="shared" si="7"/>
        <v>0.71428571428571441</v>
      </c>
      <c r="AC58" s="21">
        <f t="shared" si="8"/>
        <v>11.166666666666664</v>
      </c>
      <c r="AD58" s="8">
        <f t="shared" si="9"/>
        <v>14.633333333333328</v>
      </c>
      <c r="AE58" s="9">
        <f t="shared" si="14"/>
        <v>10.452380952380949</v>
      </c>
    </row>
    <row r="59" spans="1:33" x14ac:dyDescent="0.25">
      <c r="A59" s="14" t="s">
        <v>33</v>
      </c>
      <c r="B59" s="15">
        <v>86149</v>
      </c>
      <c r="C59" s="15">
        <v>58351</v>
      </c>
      <c r="D59" s="15">
        <v>55504</v>
      </c>
      <c r="E59" s="15">
        <v>75130</v>
      </c>
      <c r="F59" s="15">
        <v>59136</v>
      </c>
      <c r="G59" s="15">
        <v>69624</v>
      </c>
      <c r="H59" s="15">
        <v>68690</v>
      </c>
      <c r="I59" s="15">
        <v>80603</v>
      </c>
      <c r="J59" s="15">
        <v>65318</v>
      </c>
      <c r="K59" s="15">
        <v>73283</v>
      </c>
      <c r="L59" s="15">
        <v>66062</v>
      </c>
      <c r="M59" s="15">
        <v>50582</v>
      </c>
      <c r="N59" s="10">
        <f t="shared" ref="N59:U59" si="15">SUM(N34:N58)</f>
        <v>70841</v>
      </c>
      <c r="O59" s="10">
        <f t="shared" si="15"/>
        <v>68479</v>
      </c>
      <c r="P59" s="10">
        <f t="shared" si="15"/>
        <v>68351</v>
      </c>
      <c r="Q59" s="10">
        <f t="shared" si="15"/>
        <v>50645</v>
      </c>
      <c r="R59" s="10">
        <f t="shared" si="15"/>
        <v>84942</v>
      </c>
      <c r="S59" s="10">
        <f t="shared" si="15"/>
        <v>66234</v>
      </c>
      <c r="T59" s="10">
        <f t="shared" si="15"/>
        <v>71743</v>
      </c>
      <c r="U59" s="10">
        <f t="shared" si="15"/>
        <v>57857</v>
      </c>
      <c r="V59" s="10">
        <f>SUM(V34:V58)</f>
        <v>81509</v>
      </c>
      <c r="W59" s="10">
        <f>SUM(W34:W58)</f>
        <v>92333</v>
      </c>
      <c r="X59" s="10">
        <f>SUM(X34:X58)</f>
        <v>74979</v>
      </c>
      <c r="Y59" s="10">
        <f>SUM(Y34:Y58)</f>
        <v>49085</v>
      </c>
      <c r="Z59" s="10">
        <f>SUM(Z34:Z58)</f>
        <v>74954</v>
      </c>
      <c r="AA59" s="6">
        <f t="shared" si="6"/>
        <v>71786.166666666672</v>
      </c>
      <c r="AB59" s="51">
        <f t="shared" si="7"/>
        <v>-0.31623316469979135</v>
      </c>
      <c r="AC59" s="21">
        <f t="shared" si="8"/>
        <v>3167.8333333333285</v>
      </c>
      <c r="AD59" s="28">
        <f>O59</f>
        <v>68479</v>
      </c>
      <c r="AE59" s="28">
        <f>AA59</f>
        <v>71786.166666666672</v>
      </c>
      <c r="AF59" s="27"/>
      <c r="AG59" s="27" t="s">
        <v>56</v>
      </c>
    </row>
  </sheetData>
  <autoFilter ref="A33:AL59" xr:uid="{1C829816-4200-45E1-870B-CED01CABB8CE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03DC-AD83-4979-8324-93F07C539D75}">
  <dimension ref="A1:AH54"/>
  <sheetViews>
    <sheetView zoomScale="77" zoomScaleNormal="77" workbookViewId="0">
      <selection activeCell="Z57" sqref="Z57"/>
    </sheetView>
  </sheetViews>
  <sheetFormatPr defaultRowHeight="15" outlineLevelCol="1" x14ac:dyDescent="0.25"/>
  <cols>
    <col min="1" max="1" width="38" bestFit="1" customWidth="1"/>
    <col min="2" max="2" width="16" hidden="1" customWidth="1" outlineLevel="1"/>
    <col min="3" max="3" width="16.7109375" hidden="1" customWidth="1" outlineLevel="1"/>
    <col min="4" max="4" width="15.85546875" hidden="1" customWidth="1" outlineLevel="1"/>
    <col min="5" max="5" width="16.5703125" hidden="1" customWidth="1" outlineLevel="1"/>
    <col min="6" max="6" width="14.5703125" hidden="1" customWidth="1" outlineLevel="1"/>
    <col min="7" max="7" width="16.7109375" hidden="1" customWidth="1" outlineLevel="1"/>
    <col min="8" max="8" width="15.85546875" hidden="1" customWidth="1" outlineLevel="1"/>
    <col min="9" max="9" width="16.5703125" hidden="1" customWidth="1" outlineLevel="1"/>
    <col min="10" max="10" width="15.85546875" hidden="1" customWidth="1" outlineLevel="1"/>
    <col min="11" max="12" width="16.5703125" hidden="1" customWidth="1" outlineLevel="1"/>
    <col min="13" max="13" width="16" hidden="1" customWidth="1" outlineLevel="1"/>
    <col min="14" max="14" width="15.140625" bestFit="1" customWidth="1" collapsed="1"/>
    <col min="15" max="15" width="15.85546875" bestFit="1" customWidth="1"/>
    <col min="16" max="16" width="16.5703125" bestFit="1" customWidth="1"/>
    <col min="17" max="17" width="16" bestFit="1" customWidth="1"/>
    <col min="18" max="18" width="15.85546875" bestFit="1" customWidth="1"/>
    <col min="19" max="19" width="16.7109375" bestFit="1" customWidth="1"/>
    <col min="20" max="20" width="15.85546875" bestFit="1" customWidth="1"/>
    <col min="21" max="22" width="16" bestFit="1" customWidth="1"/>
    <col min="23" max="23" width="16.5703125" bestFit="1" customWidth="1"/>
    <col min="24" max="24" width="16" bestFit="1" customWidth="1"/>
    <col min="25" max="25" width="16.5703125" bestFit="1" customWidth="1"/>
    <col min="26" max="26" width="16" bestFit="1" customWidth="1"/>
    <col min="27" max="27" width="13.140625" bestFit="1" customWidth="1"/>
    <col min="28" max="28" width="8.7109375" bestFit="1" customWidth="1"/>
    <col min="29" max="29" width="12" bestFit="1" customWidth="1"/>
    <col min="30" max="30" width="14.5703125" bestFit="1" customWidth="1"/>
    <col min="31" max="31" width="15.42578125" bestFit="1" customWidth="1"/>
    <col min="32" max="32" width="9" bestFit="1" customWidth="1"/>
    <col min="33" max="33" width="15.5703125" bestFit="1" customWidth="1"/>
    <col min="34" max="34" width="6.28515625" bestFit="1" customWidth="1"/>
    <col min="46" max="46" width="11" customWidth="1"/>
  </cols>
  <sheetData>
    <row r="1" spans="1:34" x14ac:dyDescent="0.25">
      <c r="A1" s="1" t="s">
        <v>57</v>
      </c>
    </row>
    <row r="2" spans="1:34" x14ac:dyDescent="0.25">
      <c r="A2" s="1" t="s">
        <v>1</v>
      </c>
    </row>
    <row r="3" spans="1:34" x14ac:dyDescent="0.25">
      <c r="A3" s="3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  <c r="AD3" s="4" t="s">
        <v>58</v>
      </c>
      <c r="AE3" s="4" t="s">
        <v>38</v>
      </c>
      <c r="AF3" s="4" t="s">
        <v>39</v>
      </c>
      <c r="AG3" s="4" t="s">
        <v>40</v>
      </c>
      <c r="AH3" s="4" t="s">
        <v>59</v>
      </c>
    </row>
    <row r="4" spans="1:34" x14ac:dyDescent="0.25">
      <c r="A4" t="s">
        <v>41</v>
      </c>
      <c r="B4" s="6">
        <v>7950000</v>
      </c>
      <c r="C4" s="6"/>
      <c r="D4" s="6">
        <v>2543999.9999999995</v>
      </c>
      <c r="E4" s="6">
        <v>3209142.8571428573</v>
      </c>
      <c r="F4" s="6">
        <v>4138457.1428571427</v>
      </c>
      <c r="G4" s="6">
        <v>2005714.2857142854</v>
      </c>
      <c r="H4" s="6">
        <v>5348571.4285714282</v>
      </c>
      <c r="I4" s="6">
        <v>4412571.4285714282</v>
      </c>
      <c r="J4" s="6">
        <v>3342857.1428571427</v>
      </c>
      <c r="K4" s="6">
        <v>3000214.2857142854</v>
      </c>
      <c r="L4" s="6">
        <v>2005714.2857142854</v>
      </c>
      <c r="M4" s="7">
        <v>3209143</v>
      </c>
      <c r="N4" s="7">
        <v>3342300</v>
      </c>
      <c r="O4" s="7">
        <v>4008085.7142857141</v>
      </c>
      <c r="P4" s="7">
        <v>4813714.2857142854</v>
      </c>
      <c r="Q4" s="6">
        <v>1792885.7142857139</v>
      </c>
      <c r="R4" s="6">
        <v>3209142.8571428568</v>
      </c>
      <c r="S4" s="6">
        <v>3008571.4285714282</v>
      </c>
      <c r="T4" s="6">
        <v>3677142.8571428568</v>
      </c>
      <c r="U4" s="6">
        <v>2005157.1428571427</v>
      </c>
      <c r="V4" s="6">
        <v>4680000</v>
      </c>
      <c r="W4" s="6">
        <v>4011428.5714285709</v>
      </c>
      <c r="X4" s="6">
        <v>2270914.2857142854</v>
      </c>
      <c r="Y4" s="6">
        <v>2406857.1428571427</v>
      </c>
      <c r="Z4" s="6">
        <v>3437691.5714285714</v>
      </c>
      <c r="AA4" s="6">
        <f>SUM(U4:Z4)/6</f>
        <v>3135341.452380952</v>
      </c>
      <c r="AB4" s="17">
        <f>Y4/AA4-1</f>
        <v>-0.23234608433815218</v>
      </c>
      <c r="AC4" s="20">
        <f>Z4-AA4</f>
        <v>302350.1190476194</v>
      </c>
      <c r="AD4" s="6">
        <f>SUM(B4:L4)</f>
        <v>37957242.857142851</v>
      </c>
      <c r="AE4" s="32">
        <f>SUM(N4:Y4)</f>
        <v>39226199.999999993</v>
      </c>
      <c r="AF4" s="31">
        <f>AE4/AD4-1</f>
        <v>3.3431225435236023E-2</v>
      </c>
      <c r="AG4" s="35">
        <f>AE4-AD4</f>
        <v>1268957.1428571418</v>
      </c>
      <c r="AH4" s="41">
        <f>AE4/AE26</f>
        <v>0.16491656872919991</v>
      </c>
    </row>
    <row r="5" spans="1:34" x14ac:dyDescent="0.25">
      <c r="A5" t="s">
        <v>44</v>
      </c>
      <c r="B5" s="6">
        <v>1757201.7857142854</v>
      </c>
      <c r="C5" s="6">
        <v>1874348.5714285714</v>
      </c>
      <c r="D5" s="6">
        <v>2460082.4999999995</v>
      </c>
      <c r="E5" s="6">
        <v>3865843.9285714282</v>
      </c>
      <c r="F5" s="6">
        <v>2460082.5</v>
      </c>
      <c r="G5" s="6">
        <v>2342935.7142857141</v>
      </c>
      <c r="H5" s="6">
        <v>2108642.1428571427</v>
      </c>
      <c r="I5" s="6">
        <v>3514403.5714285709</v>
      </c>
      <c r="J5" s="6">
        <v>3514403.5714285709</v>
      </c>
      <c r="K5" s="6">
        <v>2342935.7142857141</v>
      </c>
      <c r="L5" s="6">
        <v>2460082.4999999995</v>
      </c>
      <c r="M5" s="7">
        <v>2342935.2857142854</v>
      </c>
      <c r="N5" s="7">
        <v>2342935.7142857141</v>
      </c>
      <c r="O5" s="7">
        <v>4100137.4999999995</v>
      </c>
      <c r="P5" s="7">
        <v>3514403.5714285709</v>
      </c>
      <c r="Q5" s="6">
        <v>1757201.7857142854</v>
      </c>
      <c r="R5" s="6">
        <v>3748697.1428571423</v>
      </c>
      <c r="S5" s="6">
        <v>1874348.5714285711</v>
      </c>
      <c r="T5" s="6">
        <v>3162963.2142857136</v>
      </c>
      <c r="U5" s="6">
        <v>2460082.4999999995</v>
      </c>
      <c r="V5" s="6">
        <v>4100137.4999999995</v>
      </c>
      <c r="W5" s="6">
        <v>3514403.5714285709</v>
      </c>
      <c r="X5" s="6">
        <v>3553452.4999999991</v>
      </c>
      <c r="Y5" s="6">
        <v>1171467.857142857</v>
      </c>
      <c r="Z5" s="6">
        <v>2928669.6428571427</v>
      </c>
      <c r="AA5" s="6">
        <f t="shared" ref="AA5:AA26" si="0">SUM(U5:Z5)/6</f>
        <v>2954702.2619047617</v>
      </c>
      <c r="AB5" s="17">
        <f t="shared" ref="AB5:AB26" si="1">Y5/AA5-1</f>
        <v>-0.6035242290748899</v>
      </c>
      <c r="AC5" s="20">
        <f t="shared" ref="AC5:AC26" si="2">Y5-AA5</f>
        <v>-1783234.4047619046</v>
      </c>
      <c r="AD5" s="6">
        <f t="shared" ref="AD5:AD26" si="3">SUM(B5:L5)</f>
        <v>28700962.499999996</v>
      </c>
      <c r="AE5" s="32">
        <f t="shared" ref="AE5:AE26" si="4">SUM(N5:X5)</f>
        <v>34128763.571428567</v>
      </c>
      <c r="AF5" s="30">
        <f t="shared" ref="AF5:AF25" si="5">AE5/AD5-1</f>
        <v>0.1891156462585033</v>
      </c>
      <c r="AG5" s="34">
        <f t="shared" ref="AG5:AG25" si="6">AE5-AD5</f>
        <v>5427801.0714285709</v>
      </c>
      <c r="AH5" s="41">
        <f>AE5/AE26</f>
        <v>0.14348569535591299</v>
      </c>
    </row>
    <row r="6" spans="1:34" x14ac:dyDescent="0.25">
      <c r="A6" t="s">
        <v>10</v>
      </c>
      <c r="B6" s="6">
        <v>1170950.8928571427</v>
      </c>
      <c r="C6" s="6">
        <v>1911281.2499999998</v>
      </c>
      <c r="D6" s="6">
        <v>2694401.1160714282</v>
      </c>
      <c r="E6" s="6">
        <v>2738924.9999999995</v>
      </c>
      <c r="F6" s="6">
        <v>1643667.1875</v>
      </c>
      <c r="G6" s="6">
        <v>2191035.9375</v>
      </c>
      <c r="H6" s="6">
        <v>1819012.4999999998</v>
      </c>
      <c r="I6" s="6">
        <v>3649471.8749999995</v>
      </c>
      <c r="J6" s="6">
        <v>2550051.5624999995</v>
      </c>
      <c r="K6" s="6">
        <v>2176467.1874999995</v>
      </c>
      <c r="L6" s="6">
        <v>2190515.6249999995</v>
      </c>
      <c r="M6" s="7">
        <v>2922074.875</v>
      </c>
      <c r="N6" s="7">
        <v>2002682.8125</v>
      </c>
      <c r="O6" s="7">
        <v>3341446.8749999995</v>
      </c>
      <c r="P6" s="7">
        <v>1915232.1428571425</v>
      </c>
      <c r="Q6" s="6">
        <v>2165496.4285714277</v>
      </c>
      <c r="R6" s="6">
        <v>1910860.7142857141</v>
      </c>
      <c r="S6" s="6">
        <v>4981789.2857142854</v>
      </c>
      <c r="T6" s="6">
        <v>1916871.4285714282</v>
      </c>
      <c r="U6" s="6">
        <v>1913592.8571428568</v>
      </c>
      <c r="V6" s="6">
        <v>4404214.2857142873</v>
      </c>
      <c r="W6" s="6">
        <v>2293360.7142857141</v>
      </c>
      <c r="X6" s="6">
        <v>2235439.2857142854</v>
      </c>
      <c r="Y6" s="6">
        <v>2267132.1428571432</v>
      </c>
      <c r="Z6" s="6">
        <v>3256120.3035714282</v>
      </c>
      <c r="AA6" s="6">
        <f t="shared" si="0"/>
        <v>2728309.9315476194</v>
      </c>
      <c r="AB6" s="17">
        <f t="shared" si="1"/>
        <v>-0.16903423740750578</v>
      </c>
      <c r="AC6" s="20">
        <f t="shared" si="2"/>
        <v>-461177.78869047621</v>
      </c>
      <c r="AD6" s="6">
        <f t="shared" si="3"/>
        <v>24735780.133928571</v>
      </c>
      <c r="AE6" s="32">
        <f t="shared" si="4"/>
        <v>29080986.830357142</v>
      </c>
      <c r="AF6" s="30">
        <f t="shared" si="5"/>
        <v>0.17566483340739736</v>
      </c>
      <c r="AG6" s="34">
        <f t="shared" si="6"/>
        <v>4345206.6964285709</v>
      </c>
      <c r="AH6" s="41">
        <f>AE6/AE26</f>
        <v>0.12226360349260321</v>
      </c>
    </row>
    <row r="7" spans="1:34" x14ac:dyDescent="0.25">
      <c r="A7" t="s">
        <v>47</v>
      </c>
      <c r="B7" s="6">
        <v>4675486.6071428563</v>
      </c>
      <c r="C7" s="6">
        <v>4667691.9642857136</v>
      </c>
      <c r="D7" s="6">
        <v>2617700.8928571427</v>
      </c>
      <c r="E7" s="6">
        <v>5697883.9285714272</v>
      </c>
      <c r="F7" s="6">
        <v>3362089.2857142854</v>
      </c>
      <c r="G7" s="6">
        <v>3553058.0357142854</v>
      </c>
      <c r="H7" s="6">
        <v>3429642.8571428568</v>
      </c>
      <c r="I7" s="6">
        <v>7106116.0714285709</v>
      </c>
      <c r="J7" s="6">
        <v>2988040.1785714282</v>
      </c>
      <c r="K7" s="6">
        <v>6090669.6428571418</v>
      </c>
      <c r="L7" s="6">
        <v>3253339.2857142854</v>
      </c>
      <c r="M7" s="7">
        <v>4924847.9285714272</v>
      </c>
      <c r="N7" s="7">
        <v>4662040.1785714282</v>
      </c>
      <c r="O7" s="7">
        <v>3732870.535714285</v>
      </c>
      <c r="P7" s="7">
        <v>6896531.2499999991</v>
      </c>
      <c r="Q7" s="6">
        <v>3736607.1428571427</v>
      </c>
      <c r="R7" s="6">
        <v>4483928.5714285709</v>
      </c>
      <c r="S7" s="6">
        <v>4772892.8571428573</v>
      </c>
      <c r="T7" s="6">
        <v>2989285.7142857141</v>
      </c>
      <c r="U7" s="6">
        <v>6276254.4642857136</v>
      </c>
      <c r="V7" s="6">
        <v>4470227.6785714291</v>
      </c>
      <c r="W7" s="6">
        <v>5231249.9999999991</v>
      </c>
      <c r="X7" s="6">
        <v>4483928.5714285709</v>
      </c>
      <c r="Y7" s="6">
        <v>3049071.4285714282</v>
      </c>
      <c r="Z7" s="6">
        <v>6815570.9999999991</v>
      </c>
      <c r="AA7" s="6">
        <f t="shared" si="0"/>
        <v>5054383.8571428573</v>
      </c>
      <c r="AB7" s="17">
        <f t="shared" si="1"/>
        <v>-0.39674715756649959</v>
      </c>
      <c r="AC7" s="20">
        <f t="shared" si="2"/>
        <v>-2005312.4285714291</v>
      </c>
      <c r="AD7" s="6">
        <f t="shared" si="3"/>
        <v>47441718.749999985</v>
      </c>
      <c r="AE7" s="32">
        <f>SUM(N7:X7)</f>
        <v>51735816.964285702</v>
      </c>
      <c r="AF7" s="30">
        <f t="shared" si="5"/>
        <v>9.0513124891490548E-2</v>
      </c>
      <c r="AG7" s="34">
        <f t="shared" si="6"/>
        <v>4294098.2142857164</v>
      </c>
      <c r="AH7" s="41">
        <f>AE7/AE26</f>
        <v>0.21751006761174752</v>
      </c>
    </row>
    <row r="8" spans="1:34" x14ac:dyDescent="0.25">
      <c r="A8" t="s">
        <v>49</v>
      </c>
      <c r="B8" s="6">
        <v>1078628.5714285714</v>
      </c>
      <c r="C8" s="6">
        <v>1078628.5714285714</v>
      </c>
      <c r="D8" s="6">
        <v>1348285.7142857141</v>
      </c>
      <c r="E8" s="6">
        <v>1887599.9999999998</v>
      </c>
      <c r="F8" s="6">
        <v>1617942.857142857</v>
      </c>
      <c r="G8" s="6">
        <v>808971.42857142852</v>
      </c>
      <c r="H8" s="6">
        <v>795488.57142857136</v>
      </c>
      <c r="I8" s="6">
        <v>2157257.1428571427</v>
      </c>
      <c r="J8" s="6">
        <v>1887600</v>
      </c>
      <c r="K8" s="6">
        <v>1078628.5714285714</v>
      </c>
      <c r="L8" s="6">
        <v>1346937.4285714284</v>
      </c>
      <c r="M8" s="7">
        <v>1617943.2857142857</v>
      </c>
      <c r="N8" s="7">
        <v>808971.42857142852</v>
      </c>
      <c r="O8" s="7">
        <v>2103325.7142857141</v>
      </c>
      <c r="P8" s="7">
        <v>1617942.857142857</v>
      </c>
      <c r="Q8" s="6">
        <v>1078628.5714285714</v>
      </c>
      <c r="R8" s="6">
        <v>1617942.857142857</v>
      </c>
      <c r="S8" s="6">
        <v>1078628.5714285714</v>
      </c>
      <c r="T8" s="6">
        <v>1348285.7142857141</v>
      </c>
      <c r="U8" s="6">
        <v>1617942.857142857</v>
      </c>
      <c r="V8" s="6">
        <v>1617942.857142857</v>
      </c>
      <c r="W8" s="6">
        <v>2157257.1428571427</v>
      </c>
      <c r="X8" s="6">
        <v>1617942.857142857</v>
      </c>
      <c r="Y8" s="6">
        <v>808971.42857142852</v>
      </c>
      <c r="Z8" s="6">
        <v>1186495</v>
      </c>
      <c r="AA8" s="6">
        <f t="shared" si="0"/>
        <v>1501092.0238095236</v>
      </c>
      <c r="AB8" s="17">
        <f t="shared" si="1"/>
        <v>-0.46107805801379675</v>
      </c>
      <c r="AC8" s="20">
        <f t="shared" si="2"/>
        <v>-692120.59523809503</v>
      </c>
      <c r="AD8" s="6">
        <f t="shared" si="3"/>
        <v>15085968.857142854</v>
      </c>
      <c r="AE8" s="32">
        <f t="shared" si="4"/>
        <v>16664811.428571427</v>
      </c>
      <c r="AF8" s="30">
        <f t="shared" si="5"/>
        <v>0.10465635892394332</v>
      </c>
      <c r="AG8" s="34">
        <f t="shared" si="6"/>
        <v>1578842.5714285728</v>
      </c>
      <c r="AH8" s="41">
        <f>AE8/AE26</f>
        <v>7.00629558641713E-2</v>
      </c>
    </row>
    <row r="9" spans="1:34" x14ac:dyDescent="0.25">
      <c r="A9" t="s">
        <v>13</v>
      </c>
      <c r="B9" s="6">
        <v>1205765.7857142854</v>
      </c>
      <c r="C9" s="6">
        <v>1507458.6428571427</v>
      </c>
      <c r="D9" s="6">
        <v>776625.16964285704</v>
      </c>
      <c r="E9" s="6">
        <v>1614861.2767857141</v>
      </c>
      <c r="F9" s="6">
        <v>787915.87499999988</v>
      </c>
      <c r="G9" s="6">
        <v>947752.24999999988</v>
      </c>
      <c r="H9" s="6">
        <v>949864.62499999977</v>
      </c>
      <c r="I9" s="6">
        <v>2050059.9374999998</v>
      </c>
      <c r="J9" s="6">
        <v>622094.43749999988</v>
      </c>
      <c r="K9" s="6">
        <v>1564213.6874999995</v>
      </c>
      <c r="L9" s="6">
        <v>1102307.6875</v>
      </c>
      <c r="M9" s="7">
        <v>742148.25</v>
      </c>
      <c r="N9" s="7">
        <v>927684.68749999988</v>
      </c>
      <c r="O9" s="7">
        <v>1419515.9999999998</v>
      </c>
      <c r="P9" s="7">
        <v>1266016.7499999998</v>
      </c>
      <c r="Q9" s="6">
        <v>789324.12499999988</v>
      </c>
      <c r="R9" s="6">
        <v>1576887.9374999998</v>
      </c>
      <c r="S9" s="6">
        <v>995280.6875</v>
      </c>
      <c r="T9" s="6">
        <v>1181521.7499999998</v>
      </c>
      <c r="U9" s="6">
        <v>1080127.7499999998</v>
      </c>
      <c r="V9" s="6">
        <v>1234639.8124999998</v>
      </c>
      <c r="W9" s="6">
        <v>1499975.1339285714</v>
      </c>
      <c r="X9" s="6">
        <v>833242.76785714272</v>
      </c>
      <c r="Y9" s="6">
        <v>708451.47321428568</v>
      </c>
      <c r="Z9" s="6">
        <v>1368169.4464285714</v>
      </c>
      <c r="AA9" s="6">
        <f t="shared" si="0"/>
        <v>1120767.7306547619</v>
      </c>
      <c r="AB9" s="17">
        <f t="shared" si="1"/>
        <v>-0.36788733844040777</v>
      </c>
      <c r="AC9" s="20">
        <f t="shared" si="2"/>
        <v>-412316.25744047621</v>
      </c>
      <c r="AD9" s="6">
        <f t="shared" si="3"/>
        <v>13128919.375</v>
      </c>
      <c r="AE9" s="32">
        <f t="shared" si="4"/>
        <v>12804217.401785713</v>
      </c>
      <c r="AF9" s="31">
        <f t="shared" si="5"/>
        <v>-2.4731812568868583E-2</v>
      </c>
      <c r="AG9" s="35">
        <f t="shared" si="6"/>
        <v>-324701.97321428731</v>
      </c>
      <c r="AH9" s="41">
        <f>AE9/AE26</f>
        <v>5.3832071400370447E-2</v>
      </c>
    </row>
    <row r="10" spans="1:34" x14ac:dyDescent="0.25">
      <c r="A10" t="s">
        <v>50</v>
      </c>
      <c r="B10" s="6">
        <v>434971.42857142858</v>
      </c>
      <c r="C10" s="6">
        <v>566574.99999999977</v>
      </c>
      <c r="D10" s="6">
        <v>549892.85714285704</v>
      </c>
      <c r="E10" s="6">
        <v>1016992.857142857</v>
      </c>
      <c r="F10" s="6">
        <v>724746.42857142841</v>
      </c>
      <c r="G10" s="6">
        <v>1355578.5714285714</v>
      </c>
      <c r="H10" s="6">
        <v>444239.28571428568</v>
      </c>
      <c r="I10" s="6">
        <v>1601485.7142857141</v>
      </c>
      <c r="J10" s="6">
        <v>889714.28571428568</v>
      </c>
      <c r="K10" s="6">
        <v>1344457.1428571427</v>
      </c>
      <c r="L10" s="6">
        <v>741428.57142857136</v>
      </c>
      <c r="M10" s="7">
        <v>1779428.2857142854</v>
      </c>
      <c r="N10" s="7">
        <v>1093607.1428571427</v>
      </c>
      <c r="O10" s="7">
        <v>679642.85714285704</v>
      </c>
      <c r="P10" s="7">
        <v>1799785.7142857141</v>
      </c>
      <c r="Q10" s="6">
        <v>699159.99999999977</v>
      </c>
      <c r="R10" s="6">
        <v>930699.99999999988</v>
      </c>
      <c r="S10" s="6">
        <v>1083114.2857142857</v>
      </c>
      <c r="T10" s="6">
        <v>1166131.4285714286</v>
      </c>
      <c r="U10" s="6">
        <v>923565.7142857142</v>
      </c>
      <c r="V10" s="6">
        <v>1230340</v>
      </c>
      <c r="W10" s="6">
        <v>2333560</v>
      </c>
      <c r="X10" s="6">
        <v>538314.28571428556</v>
      </c>
      <c r="Y10" s="6">
        <v>451405.7142857142</v>
      </c>
      <c r="Z10" s="6">
        <v>1554626.1428571427</v>
      </c>
      <c r="AA10" s="6">
        <f t="shared" si="0"/>
        <v>1171968.642857143</v>
      </c>
      <c r="AB10" s="17">
        <f t="shared" si="1"/>
        <v>-0.61483123542859308</v>
      </c>
      <c r="AC10" s="20">
        <f t="shared" si="2"/>
        <v>-720562.92857142875</v>
      </c>
      <c r="AD10" s="6">
        <f t="shared" si="3"/>
        <v>9670082.1428571418</v>
      </c>
      <c r="AE10" s="32">
        <f t="shared" si="4"/>
        <v>12477921.428571427</v>
      </c>
      <c r="AF10" s="30">
        <f t="shared" si="5"/>
        <v>0.29036354027130074</v>
      </c>
      <c r="AG10" s="34">
        <f t="shared" si="6"/>
        <v>2807839.2857142854</v>
      </c>
      <c r="AH10" s="41">
        <f>AE10/AE26</f>
        <v>5.2460243074082029E-2</v>
      </c>
    </row>
    <row r="11" spans="1:34" x14ac:dyDescent="0.25">
      <c r="A11" t="s">
        <v>51</v>
      </c>
      <c r="B11" s="6">
        <v>645415.17857142852</v>
      </c>
      <c r="C11" s="6">
        <v>860872.76785714272</v>
      </c>
      <c r="D11" s="6">
        <v>221202.14285714284</v>
      </c>
      <c r="E11" s="6">
        <v>903409.66071428568</v>
      </c>
      <c r="F11" s="6">
        <v>676174.73214285693</v>
      </c>
      <c r="G11" s="6">
        <v>571606.44642857136</v>
      </c>
      <c r="H11" s="6">
        <v>814426.07142857136</v>
      </c>
      <c r="I11" s="6">
        <v>964742.98214285704</v>
      </c>
      <c r="J11" s="6">
        <v>812415.14285714272</v>
      </c>
      <c r="K11" s="6">
        <v>466535.42857142852</v>
      </c>
      <c r="L11" s="6">
        <v>451453.4642857142</v>
      </c>
      <c r="M11" s="7">
        <v>1131147.4642857143</v>
      </c>
      <c r="N11" s="7">
        <v>678185.66071428556</v>
      </c>
      <c r="O11" s="7">
        <v>1130141.8571428573</v>
      </c>
      <c r="P11" s="7">
        <v>712058.03571428556</v>
      </c>
      <c r="Q11" s="6">
        <v>475587.05357142852</v>
      </c>
      <c r="R11" s="6">
        <v>713645.0892857142</v>
      </c>
      <c r="S11" s="6">
        <v>714174.10714285704</v>
      </c>
      <c r="T11" s="6">
        <v>473999.99999999994</v>
      </c>
      <c r="U11" s="6">
        <v>474529.01785714278</v>
      </c>
      <c r="V11" s="6">
        <v>705180.80357142841</v>
      </c>
      <c r="W11" s="6">
        <v>712587.05357142852</v>
      </c>
      <c r="X11" s="6">
        <v>706767.85714285704</v>
      </c>
      <c r="Y11" s="6">
        <v>473470.98214285704</v>
      </c>
      <c r="Z11" s="6">
        <v>902699.92857142852</v>
      </c>
      <c r="AA11" s="6">
        <f t="shared" si="0"/>
        <v>662539.27380952367</v>
      </c>
      <c r="AB11" s="17">
        <f t="shared" si="1"/>
        <v>-0.28536918359502816</v>
      </c>
      <c r="AC11" s="20">
        <f t="shared" si="2"/>
        <v>-189068.29166666663</v>
      </c>
      <c r="AD11" s="6">
        <f t="shared" si="3"/>
        <v>7388254.0178571427</v>
      </c>
      <c r="AE11" s="32">
        <f t="shared" si="4"/>
        <v>7496856.5357142845</v>
      </c>
      <c r="AF11" s="30">
        <f t="shared" si="5"/>
        <v>1.4699348126723022E-2</v>
      </c>
      <c r="AG11" s="34">
        <f t="shared" si="6"/>
        <v>108602.51785714179</v>
      </c>
      <c r="AH11" s="41">
        <f>AE11/AE26</f>
        <v>3.1518624188044637E-2</v>
      </c>
    </row>
    <row r="12" spans="1:34" x14ac:dyDescent="0.25">
      <c r="A12" t="s">
        <v>52</v>
      </c>
      <c r="B12" s="6">
        <v>369384.37499999994</v>
      </c>
      <c r="C12" s="6">
        <v>518474.99999999994</v>
      </c>
      <c r="D12" s="6">
        <v>-2034.3749999999998</v>
      </c>
      <c r="E12" s="6">
        <v>652162.49999999988</v>
      </c>
      <c r="F12" s="6">
        <v>254006.24999999997</v>
      </c>
      <c r="G12" s="6">
        <v>249937.49999999997</v>
      </c>
      <c r="H12" s="6">
        <v>260690.62499999997</v>
      </c>
      <c r="I12" s="6">
        <v>696046.875</v>
      </c>
      <c r="J12" s="6">
        <v>365024.99999999994</v>
      </c>
      <c r="K12" s="6">
        <v>179315.62499999997</v>
      </c>
      <c r="L12" s="6">
        <v>125549.99999999999</v>
      </c>
      <c r="M12" s="7">
        <v>512954</v>
      </c>
      <c r="N12" s="7">
        <v>247903.12499999997</v>
      </c>
      <c r="O12" s="7">
        <v>389728.12499999994</v>
      </c>
      <c r="P12" s="7">
        <v>130781.24999999999</v>
      </c>
      <c r="Q12" s="6">
        <v>261562.49999999997</v>
      </c>
      <c r="R12" s="6">
        <v>260981.24999999997</v>
      </c>
      <c r="S12" s="6">
        <v>246740.62499999997</v>
      </c>
      <c r="T12" s="6">
        <v>246159.37499999997</v>
      </c>
      <c r="U12" s="6">
        <v>121481.24999999999</v>
      </c>
      <c r="V12" s="6">
        <v>236278.12499999997</v>
      </c>
      <c r="W12" s="6">
        <v>389437.49999999994</v>
      </c>
      <c r="X12" s="6">
        <v>259818.74999999994</v>
      </c>
      <c r="Y12" s="6">
        <v>261271.87499999997</v>
      </c>
      <c r="Z12" s="6">
        <v>261562.49999999997</v>
      </c>
      <c r="AA12" s="6">
        <f t="shared" si="0"/>
        <v>254974.99999999997</v>
      </c>
      <c r="AB12" s="18">
        <f t="shared" si="1"/>
        <v>2.4696048632218748E-2</v>
      </c>
      <c r="AC12" s="52">
        <f t="shared" si="2"/>
        <v>6296.875</v>
      </c>
      <c r="AD12" s="6">
        <f t="shared" si="3"/>
        <v>3668559.3749999995</v>
      </c>
      <c r="AE12" s="32">
        <f t="shared" si="4"/>
        <v>2790871.8749999995</v>
      </c>
      <c r="AF12" s="31">
        <f t="shared" si="5"/>
        <v>-0.23924582112017745</v>
      </c>
      <c r="AG12" s="35">
        <f t="shared" si="6"/>
        <v>-877687.5</v>
      </c>
      <c r="AH12" s="41">
        <f>AE12/AE26</f>
        <v>1.1733510087335213E-2</v>
      </c>
    </row>
    <row r="13" spans="1:34" x14ac:dyDescent="0.25">
      <c r="A13" t="s">
        <v>17</v>
      </c>
      <c r="B13" s="6">
        <v>2692888.3928571427</v>
      </c>
      <c r="C13" s="6"/>
      <c r="D13" s="6"/>
      <c r="E13" s="6"/>
      <c r="F13" s="6"/>
      <c r="G13" s="6">
        <v>-3535.7142857142853</v>
      </c>
      <c r="H13" s="6">
        <v>-2651.7857142857142</v>
      </c>
      <c r="I13" s="6">
        <v>111374.99999999999</v>
      </c>
      <c r="J13" s="6">
        <v>157339.28571428568</v>
      </c>
      <c r="K13" s="6">
        <v>81763.392857142855</v>
      </c>
      <c r="L13" s="6">
        <v>107397.32142857142</v>
      </c>
      <c r="M13" s="7">
        <v>-11050.64285714287</v>
      </c>
      <c r="N13" s="7">
        <v>124191.96428571428</v>
      </c>
      <c r="O13" s="7">
        <v>-29169.642857142862</v>
      </c>
      <c r="P13" s="7">
        <v>-347825.89285714278</v>
      </c>
      <c r="Q13" s="6">
        <v>-258549.10714285713</v>
      </c>
      <c r="R13" s="6">
        <v>28285.714285714279</v>
      </c>
      <c r="S13" s="6">
        <v>113142.85714285713</v>
      </c>
      <c r="T13" s="6">
        <v>95464.28571428571</v>
      </c>
      <c r="U13" s="6">
        <v>49500</v>
      </c>
      <c r="V13" s="6">
        <v>123308.03571428571</v>
      </c>
      <c r="W13" s="6">
        <v>131263.39285714284</v>
      </c>
      <c r="X13" s="6">
        <v>60549.107142857138</v>
      </c>
      <c r="Y13" s="6">
        <v>41102.678571428572</v>
      </c>
      <c r="Z13" s="6">
        <v>110491.35714285714</v>
      </c>
      <c r="AA13" s="6">
        <f t="shared" si="0"/>
        <v>86035.761904761908</v>
      </c>
      <c r="AB13" s="17">
        <f t="shared" si="1"/>
        <v>-0.52226053839184261</v>
      </c>
      <c r="AC13" s="20">
        <f t="shared" si="2"/>
        <v>-44933.083333333336</v>
      </c>
      <c r="AD13" s="6">
        <f t="shared" si="3"/>
        <v>3144575.8928571423</v>
      </c>
      <c r="AE13" s="32">
        <f t="shared" si="4"/>
        <v>90160.714285714203</v>
      </c>
      <c r="AF13" s="31">
        <f t="shared" si="5"/>
        <v>-0.97132817990161635</v>
      </c>
      <c r="AG13" s="35">
        <f t="shared" si="6"/>
        <v>-3054415.1785714282</v>
      </c>
      <c r="AH13" s="41">
        <f>AE13/AE26</f>
        <v>3.7905776328509374E-4</v>
      </c>
    </row>
    <row r="14" spans="1:34" x14ac:dyDescent="0.25">
      <c r="A14" t="s">
        <v>18</v>
      </c>
      <c r="B14" s="6"/>
      <c r="C14" s="6"/>
      <c r="D14" s="6"/>
      <c r="E14" s="6"/>
      <c r="F14" s="6"/>
      <c r="G14" s="6">
        <v>5657142.8571428563</v>
      </c>
      <c r="H14" s="6"/>
      <c r="I14" s="6"/>
      <c r="J14" s="6"/>
      <c r="K14" s="6"/>
      <c r="L14" s="6"/>
      <c r="M14" s="7"/>
      <c r="N14" s="7">
        <v>373999.99999999994</v>
      </c>
      <c r="O14" s="7">
        <v>562571.42857142852</v>
      </c>
      <c r="P14" s="7">
        <v>744857.14285714272</v>
      </c>
      <c r="Q14" s="6">
        <v>1122000</v>
      </c>
      <c r="R14" s="6">
        <v>1320000</v>
      </c>
      <c r="S14" s="6">
        <v>1063857.142857143</v>
      </c>
      <c r="T14" s="6"/>
      <c r="U14" s="6">
        <v>-3142.8571428571427</v>
      </c>
      <c r="V14" s="6">
        <v>1717571.4285714282</v>
      </c>
      <c r="W14" s="6">
        <v>3735285.7142857136</v>
      </c>
      <c r="X14" s="6">
        <v>737000</v>
      </c>
      <c r="Y14" s="6">
        <v>740142.85714285704</v>
      </c>
      <c r="Z14" s="6">
        <v>1503857.4285714286</v>
      </c>
      <c r="AA14" s="6">
        <f t="shared" si="0"/>
        <v>1405119.0952380951</v>
      </c>
      <c r="AB14" s="17">
        <f t="shared" si="1"/>
        <v>-0.47325258075904164</v>
      </c>
      <c r="AC14" s="20">
        <f t="shared" si="2"/>
        <v>-664976.23809523811</v>
      </c>
      <c r="AD14" s="6">
        <f t="shared" si="3"/>
        <v>5657142.8571428563</v>
      </c>
      <c r="AE14" s="32">
        <f t="shared" si="4"/>
        <v>11373999.999999998</v>
      </c>
      <c r="AF14" s="30">
        <f t="shared" si="5"/>
        <v>1.0105555555555554</v>
      </c>
      <c r="AG14" s="34">
        <f t="shared" si="6"/>
        <v>5716857.1428571418</v>
      </c>
      <c r="AH14" s="41">
        <f>AE14/AE26</f>
        <v>4.7819086547407595E-2</v>
      </c>
    </row>
    <row r="15" spans="1:34" x14ac:dyDescent="0.25">
      <c r="A15" t="s">
        <v>53</v>
      </c>
      <c r="B15" s="6">
        <v>846450</v>
      </c>
      <c r="C15" s="6">
        <v>705375</v>
      </c>
      <c r="D15" s="6">
        <v>282150</v>
      </c>
      <c r="E15" s="6">
        <v>1467179.9999999998</v>
      </c>
      <c r="F15" s="6">
        <v>1269674.9999999998</v>
      </c>
      <c r="G15" s="6">
        <v>677159.99999999988</v>
      </c>
      <c r="H15" s="6">
        <v>846449.99999999988</v>
      </c>
      <c r="I15" s="6">
        <v>1269675</v>
      </c>
      <c r="J15" s="6">
        <v>1410750</v>
      </c>
      <c r="K15" s="6">
        <v>677160</v>
      </c>
      <c r="L15" s="6">
        <v>1128600</v>
      </c>
      <c r="M15" s="7">
        <v>1043955</v>
      </c>
      <c r="N15" s="7">
        <v>592514.99999999988</v>
      </c>
      <c r="O15" s="7">
        <v>1410750</v>
      </c>
      <c r="P15" s="7">
        <v>1580039.9999999998</v>
      </c>
      <c r="Q15" s="6">
        <v>775912.5</v>
      </c>
      <c r="R15" s="6">
        <v>1523609.9999999998</v>
      </c>
      <c r="S15" s="6">
        <v>846449.99999999988</v>
      </c>
      <c r="T15" s="6">
        <v>1354319.9999999998</v>
      </c>
      <c r="U15" s="6">
        <v>987524.99999999977</v>
      </c>
      <c r="V15" s="6">
        <v>1410749.9999999998</v>
      </c>
      <c r="W15" s="6">
        <v>1692900</v>
      </c>
      <c r="X15" s="6">
        <v>959310</v>
      </c>
      <c r="Y15" s="6">
        <v>846449.99999999988</v>
      </c>
      <c r="Z15" s="6">
        <v>1266492.857142857</v>
      </c>
      <c r="AA15" s="6">
        <f t="shared" si="0"/>
        <v>1193904.642857143</v>
      </c>
      <c r="AB15" s="17">
        <f t="shared" si="1"/>
        <v>-0.2910237806142093</v>
      </c>
      <c r="AC15" s="20">
        <f t="shared" si="2"/>
        <v>-347454.64285714307</v>
      </c>
      <c r="AD15" s="6">
        <f t="shared" si="3"/>
        <v>10580625</v>
      </c>
      <c r="AE15" s="32">
        <f t="shared" si="4"/>
        <v>13134082.5</v>
      </c>
      <c r="AF15" s="30">
        <f t="shared" si="5"/>
        <v>0.2413333333333334</v>
      </c>
      <c r="AG15" s="34">
        <f t="shared" si="6"/>
        <v>2553457.5</v>
      </c>
      <c r="AH15" s="41">
        <f>AE15/AE26</f>
        <v>5.5218905203823776E-2</v>
      </c>
    </row>
    <row r="16" spans="1:34" x14ac:dyDescent="0.25">
      <c r="A16" t="s">
        <v>20</v>
      </c>
      <c r="B16" s="6">
        <v>111465.40178571428</v>
      </c>
      <c r="C16" s="6">
        <v>167279.46428571429</v>
      </c>
      <c r="D16" s="6">
        <v>55000.446428571428</v>
      </c>
      <c r="E16" s="6">
        <v>164838.61607142855</v>
      </c>
      <c r="F16" s="6">
        <v>167930.35714285716</v>
      </c>
      <c r="G16" s="6">
        <v>95681.25</v>
      </c>
      <c r="H16" s="6">
        <v>129039.50892857143</v>
      </c>
      <c r="I16" s="6">
        <v>201939.50892857142</v>
      </c>
      <c r="J16" s="6">
        <v>110000.89285714284</v>
      </c>
      <c r="K16" s="6">
        <v>134572.09821428574</v>
      </c>
      <c r="L16" s="6">
        <v>113743.52678571428</v>
      </c>
      <c r="M16" s="7">
        <v>113906</v>
      </c>
      <c r="N16" s="7">
        <v>281185.7142857142</v>
      </c>
      <c r="O16" s="7">
        <v>-11716.071428571428</v>
      </c>
      <c r="P16" s="7">
        <v>-25059.374999999996</v>
      </c>
      <c r="Q16" s="6">
        <v>-4393.5267857142853</v>
      </c>
      <c r="R16" s="6">
        <v>-162.72321428571428</v>
      </c>
      <c r="S16" s="6"/>
      <c r="T16" s="6">
        <v>-6183.4821428571431</v>
      </c>
      <c r="U16" s="6">
        <v>-21804.91071428571</v>
      </c>
      <c r="V16" s="6">
        <v>326168.19642857136</v>
      </c>
      <c r="W16" s="6">
        <v>217467.61607142855</v>
      </c>
      <c r="X16" s="6"/>
      <c r="Y16" s="6">
        <v>54524.089285714283</v>
      </c>
      <c r="Z16" s="6"/>
      <c r="AA16" s="6">
        <f t="shared" si="0"/>
        <v>96059.16517857142</v>
      </c>
      <c r="AB16" s="17">
        <f t="shared" si="1"/>
        <v>-0.43239055654548464</v>
      </c>
      <c r="AC16" s="20">
        <f t="shared" si="2"/>
        <v>-41535.075892857138</v>
      </c>
      <c r="AD16" s="6">
        <f t="shared" si="3"/>
        <v>1451491.0714285714</v>
      </c>
      <c r="AE16" s="32">
        <f t="shared" si="4"/>
        <v>755501.43749999988</v>
      </c>
      <c r="AF16" s="31">
        <f t="shared" si="5"/>
        <v>-0.47949976932587801</v>
      </c>
      <c r="AG16" s="35">
        <f t="shared" si="6"/>
        <v>-695989.63392857148</v>
      </c>
      <c r="AH16" s="41">
        <f>AE16/AE26</f>
        <v>3.1763134013102997E-3</v>
      </c>
    </row>
    <row r="17" spans="1:34" x14ac:dyDescent="0.25">
      <c r="A17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>
        <v>940178.57142857136</v>
      </c>
      <c r="L17" s="6"/>
      <c r="M17" s="6">
        <v>108482</v>
      </c>
      <c r="N17" s="7">
        <v>-301.33928571428567</v>
      </c>
      <c r="O17" s="7">
        <v>54241.07142857142</v>
      </c>
      <c r="P17" s="7"/>
      <c r="Q17" s="7">
        <v>57013.392857142848</v>
      </c>
      <c r="R17" s="7">
        <v>38008.928571428565</v>
      </c>
      <c r="S17" s="7">
        <v>76017.85714285713</v>
      </c>
      <c r="T17" s="7">
        <v>75384.374999999985</v>
      </c>
      <c r="U17" s="7">
        <v>126062.94642857142</v>
      </c>
      <c r="V17" s="7">
        <v>88370.75892857142</v>
      </c>
      <c r="W17" s="7">
        <v>171040.17857142858</v>
      </c>
      <c r="X17" s="7">
        <v>79502.008928571435</v>
      </c>
      <c r="Y17" s="7">
        <v>45610.714285714283</v>
      </c>
      <c r="Z17" s="7">
        <v>121549.28571428571</v>
      </c>
      <c r="AA17" s="6">
        <f t="shared" si="0"/>
        <v>105355.98214285714</v>
      </c>
      <c r="AB17" s="17">
        <f t="shared" si="1"/>
        <v>-0.56707997630482376</v>
      </c>
      <c r="AC17" s="20">
        <f t="shared" si="2"/>
        <v>-59745.267857142862</v>
      </c>
      <c r="AD17" s="6">
        <f t="shared" si="3"/>
        <v>940178.57142857136</v>
      </c>
      <c r="AE17" s="32">
        <f t="shared" si="4"/>
        <v>765340.17857142852</v>
      </c>
      <c r="AF17" s="31">
        <f t="shared" si="5"/>
        <v>-0.185962962962963</v>
      </c>
      <c r="AG17" s="35">
        <f t="shared" si="6"/>
        <v>-174838.39285714284</v>
      </c>
      <c r="AH17" s="41">
        <f>AE17/AE26</f>
        <v>3.2176778826547851E-3</v>
      </c>
    </row>
    <row r="18" spans="1:34" x14ac:dyDescent="0.25">
      <c r="A18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>
        <v>4065569.1964285709</v>
      </c>
      <c r="P18" s="7"/>
      <c r="Q18" s="7"/>
      <c r="R18" s="7">
        <v>3013392.8571428568</v>
      </c>
      <c r="S18" s="7"/>
      <c r="T18" s="7"/>
      <c r="U18" s="7">
        <v>-5022.3214285714284</v>
      </c>
      <c r="V18" s="7">
        <v>-753348.2142857142</v>
      </c>
      <c r="W18" s="7"/>
      <c r="X18" s="7">
        <v>-753348.2142857142</v>
      </c>
      <c r="Y18" s="7"/>
      <c r="Z18" s="7"/>
      <c r="AA18" s="6">
        <f t="shared" si="0"/>
        <v>-251953.125</v>
      </c>
      <c r="AB18" s="17">
        <f t="shared" si="1"/>
        <v>-1</v>
      </c>
      <c r="AC18" s="52">
        <f t="shared" si="2"/>
        <v>251953.125</v>
      </c>
      <c r="AD18" s="6">
        <f t="shared" si="3"/>
        <v>0</v>
      </c>
      <c r="AE18" s="32">
        <f t="shared" si="4"/>
        <v>5567243.3035714263</v>
      </c>
      <c r="AF18" s="29" t="e">
        <f t="shared" si="5"/>
        <v>#DIV/0!</v>
      </c>
      <c r="AG18" s="32">
        <f t="shared" si="6"/>
        <v>5567243.3035714263</v>
      </c>
      <c r="AH18" s="42">
        <f>AE18/AE26</f>
        <v>2.3406056740281119E-2</v>
      </c>
    </row>
    <row r="19" spans="1:34" x14ac:dyDescent="0.25">
      <c r="A19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  <c r="T19" s="7"/>
      <c r="U19" s="7">
        <v>1527428.5714285714</v>
      </c>
      <c r="V19" s="7"/>
      <c r="W19" s="7">
        <v>45822.857142857138</v>
      </c>
      <c r="X19" s="7">
        <v>45822.857142857138</v>
      </c>
      <c r="Y19" s="7">
        <v>61097.142857142855</v>
      </c>
      <c r="Z19" s="7"/>
      <c r="AA19" s="6">
        <f t="shared" si="0"/>
        <v>280028.57142857142</v>
      </c>
      <c r="AB19" s="17">
        <f t="shared" si="1"/>
        <v>-0.78181818181818186</v>
      </c>
      <c r="AC19" s="20">
        <f t="shared" si="2"/>
        <v>-218931.42857142858</v>
      </c>
      <c r="AD19" s="6">
        <f t="shared" si="3"/>
        <v>0</v>
      </c>
      <c r="AE19" s="32">
        <f t="shared" si="4"/>
        <v>1619074.2857142854</v>
      </c>
      <c r="AF19" s="29" t="e">
        <f t="shared" si="5"/>
        <v>#DIV/0!</v>
      </c>
      <c r="AG19" s="32">
        <f t="shared" si="6"/>
        <v>1619074.2857142854</v>
      </c>
      <c r="AH19" s="42">
        <f>AE19/AE26</f>
        <v>6.8069855279807943E-3</v>
      </c>
    </row>
    <row r="20" spans="1:34" hidden="1" x14ac:dyDescent="0.25">
      <c r="A20" t="s">
        <v>24</v>
      </c>
      <c r="B20" s="6">
        <v>109057.45535714284</v>
      </c>
      <c r="C20" s="6">
        <v>-3023.375</v>
      </c>
      <c r="D20" s="6">
        <v>-3887.1964285714284</v>
      </c>
      <c r="E20" s="6">
        <v>226537.16964285713</v>
      </c>
      <c r="F20" s="6">
        <v>45350.625000000007</v>
      </c>
      <c r="G20" s="6">
        <v>155271.90178571426</v>
      </c>
      <c r="H20" s="6">
        <v>97827.776785714275</v>
      </c>
      <c r="I20" s="6">
        <v>35200.72321428571</v>
      </c>
      <c r="J20" s="6">
        <v>26562.508928571428</v>
      </c>
      <c r="K20" s="6">
        <v>71265.267857142884</v>
      </c>
      <c r="L20" s="6">
        <v>-431.91071428571428</v>
      </c>
      <c r="M20" s="6">
        <v>114024.28571428571</v>
      </c>
      <c r="N20" s="7">
        <v>77743.928571428565</v>
      </c>
      <c r="O20" s="7">
        <v>62195.142857142848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6">
        <f t="shared" si="0"/>
        <v>0</v>
      </c>
      <c r="AB20" s="17" t="e">
        <f t="shared" si="1"/>
        <v>#DIV/0!</v>
      </c>
      <c r="AC20" s="20">
        <f t="shared" si="2"/>
        <v>0</v>
      </c>
      <c r="AD20" s="6">
        <f t="shared" si="3"/>
        <v>759730.94642857136</v>
      </c>
      <c r="AE20" s="32">
        <f t="shared" si="4"/>
        <v>139939.07142857142</v>
      </c>
      <c r="AF20" s="29">
        <f t="shared" si="5"/>
        <v>-0.8158044343376919</v>
      </c>
      <c r="AG20" s="32">
        <f t="shared" si="6"/>
        <v>-619791.875</v>
      </c>
      <c r="AH20" s="29">
        <f>AE20/AE26</f>
        <v>5.8833818955571573E-4</v>
      </c>
    </row>
    <row r="21" spans="1:34" hidden="1" x14ac:dyDescent="0.25">
      <c r="A21" t="s">
        <v>25</v>
      </c>
      <c r="B21" s="6">
        <v>-2396.25</v>
      </c>
      <c r="C21" s="6">
        <v>-3195</v>
      </c>
      <c r="D21" s="6"/>
      <c r="E21" s="6"/>
      <c r="F21" s="6">
        <v>-1996.875</v>
      </c>
      <c r="G21" s="6">
        <v>-399.375</v>
      </c>
      <c r="H21" s="6">
        <v>-798.75</v>
      </c>
      <c r="I21" s="6"/>
      <c r="J21" s="6">
        <v>-399.375</v>
      </c>
      <c r="K21" s="6"/>
      <c r="L21" s="6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>
        <f t="shared" si="0"/>
        <v>0</v>
      </c>
      <c r="AB21" s="17" t="e">
        <f t="shared" si="1"/>
        <v>#DIV/0!</v>
      </c>
      <c r="AC21" s="20">
        <f t="shared" si="2"/>
        <v>0</v>
      </c>
      <c r="AD21" s="6">
        <f t="shared" si="3"/>
        <v>-9185.625</v>
      </c>
      <c r="AE21" s="32">
        <f t="shared" si="4"/>
        <v>0</v>
      </c>
      <c r="AF21" s="29">
        <f t="shared" si="5"/>
        <v>-1</v>
      </c>
      <c r="AG21" s="32">
        <f t="shared" si="6"/>
        <v>9185.625</v>
      </c>
      <c r="AH21" s="29">
        <f>AE21/AE26</f>
        <v>0</v>
      </c>
    </row>
    <row r="22" spans="1:34" hidden="1" x14ac:dyDescent="0.25">
      <c r="A22" t="s">
        <v>26</v>
      </c>
      <c r="B22" s="6"/>
      <c r="C22" s="6">
        <v>-225.9375</v>
      </c>
      <c r="D22" s="6"/>
      <c r="E22" s="6"/>
      <c r="F22" s="6">
        <v>-2259.375</v>
      </c>
      <c r="G22" s="6">
        <v>-2711.25</v>
      </c>
      <c r="H22" s="6">
        <v>-3163.1249999999995</v>
      </c>
      <c r="I22" s="6"/>
      <c r="J22" s="6">
        <v>-1129.6875</v>
      </c>
      <c r="K22" s="6"/>
      <c r="L22" s="6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>
        <v>-741.51785714285711</v>
      </c>
      <c r="AA22" s="6">
        <f t="shared" si="0"/>
        <v>-123.58630952380952</v>
      </c>
      <c r="AB22" s="17">
        <f t="shared" si="1"/>
        <v>-1</v>
      </c>
      <c r="AC22" s="20">
        <f t="shared" si="2"/>
        <v>123.58630952380952</v>
      </c>
      <c r="AD22" s="6">
        <f t="shared" si="3"/>
        <v>-9489.375</v>
      </c>
      <c r="AE22" s="32">
        <f t="shared" si="4"/>
        <v>0</v>
      </c>
      <c r="AF22" s="29">
        <f t="shared" si="5"/>
        <v>-1</v>
      </c>
      <c r="AG22" s="32">
        <f t="shared" si="6"/>
        <v>9489.375</v>
      </c>
      <c r="AH22" s="29">
        <f>AE22/AE26</f>
        <v>0</v>
      </c>
    </row>
    <row r="23" spans="1:34" hidden="1" x14ac:dyDescent="0.25">
      <c r="A23" t="s">
        <v>28</v>
      </c>
      <c r="B23" s="6"/>
      <c r="C23" s="6"/>
      <c r="D23" s="6"/>
      <c r="E23" s="6"/>
      <c r="F23" s="6"/>
      <c r="G23" s="6"/>
      <c r="H23" s="6"/>
      <c r="I23" s="6">
        <v>-1117.9821428571429</v>
      </c>
      <c r="J23" s="6">
        <v>-1117.9821428571429</v>
      </c>
      <c r="K23" s="6"/>
      <c r="L23" s="6"/>
      <c r="M23" s="6"/>
      <c r="N23" s="7"/>
      <c r="O23" s="7">
        <v>-1490.6428571428569</v>
      </c>
      <c r="P23" s="7"/>
      <c r="Q23" s="7"/>
      <c r="R23" s="7"/>
      <c r="S23" s="7"/>
      <c r="T23" s="7"/>
      <c r="U23" s="7">
        <v>214652.57142857142</v>
      </c>
      <c r="V23" s="7">
        <v>214652.57142857142</v>
      </c>
      <c r="W23" s="7"/>
      <c r="X23" s="7"/>
      <c r="Y23" s="7">
        <v>-372.66071428571422</v>
      </c>
      <c r="Z23" s="7"/>
      <c r="AA23" s="6">
        <f t="shared" si="0"/>
        <v>71488.747023809512</v>
      </c>
      <c r="AB23" s="17">
        <f t="shared" si="1"/>
        <v>-1.0052128583840139</v>
      </c>
      <c r="AC23" s="20">
        <f t="shared" si="2"/>
        <v>-71861.407738095222</v>
      </c>
      <c r="AD23" s="6">
        <f t="shared" si="3"/>
        <v>-2235.9642857142858</v>
      </c>
      <c r="AE23" s="32">
        <f t="shared" si="4"/>
        <v>427814.5</v>
      </c>
      <c r="AF23" s="29">
        <f t="shared" si="5"/>
        <v>-192.33333333333331</v>
      </c>
      <c r="AG23" s="32">
        <f t="shared" si="6"/>
        <v>430050.46428571426</v>
      </c>
      <c r="AH23" s="29">
        <f>AE23/AE26</f>
        <v>1.7986371198994116E-3</v>
      </c>
    </row>
    <row r="24" spans="1:34" hidden="1" x14ac:dyDescent="0.25">
      <c r="A24" t="s">
        <v>55</v>
      </c>
      <c r="B24" s="6">
        <v>-3566.6517857142853</v>
      </c>
      <c r="C24" s="6">
        <v>-1188.8839285714284</v>
      </c>
      <c r="D24" s="6"/>
      <c r="E24" s="6">
        <v>-2377.7678571428569</v>
      </c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6">
        <f t="shared" si="0"/>
        <v>0</v>
      </c>
      <c r="AB24" s="17" t="e">
        <f t="shared" si="1"/>
        <v>#DIV/0!</v>
      </c>
      <c r="AC24" s="20">
        <f t="shared" si="2"/>
        <v>0</v>
      </c>
      <c r="AD24" s="6">
        <f t="shared" si="3"/>
        <v>-7133.3035714285706</v>
      </c>
      <c r="AE24" s="32">
        <f t="shared" si="4"/>
        <v>0</v>
      </c>
      <c r="AF24" s="29">
        <f t="shared" si="5"/>
        <v>-1</v>
      </c>
      <c r="AG24" s="32">
        <f t="shared" si="6"/>
        <v>7133.3035714285706</v>
      </c>
      <c r="AH24" s="29">
        <f>AE24/AE26</f>
        <v>0</v>
      </c>
    </row>
    <row r="25" spans="1:34" hidden="1" x14ac:dyDescent="0.25">
      <c r="A25" t="s">
        <v>32</v>
      </c>
      <c r="B25" s="6">
        <v>-484.99107142857139</v>
      </c>
      <c r="C25" s="6">
        <v>-970.41071428571433</v>
      </c>
      <c r="D25" s="6">
        <v>-143.92857142857142</v>
      </c>
      <c r="E25" s="6">
        <v>-648.83928571428567</v>
      </c>
      <c r="F25" s="6">
        <v>-2040.7767857142856</v>
      </c>
      <c r="G25" s="6">
        <v>-1071.125</v>
      </c>
      <c r="H25" s="6">
        <v>-1551.5357142857142</v>
      </c>
      <c r="I25" s="6">
        <v>-155</v>
      </c>
      <c r="J25" s="6">
        <v>-1890.6071428571427</v>
      </c>
      <c r="K25" s="6">
        <v>-3111.0267857142853</v>
      </c>
      <c r="L25" s="6">
        <v>-153.61607142857142</v>
      </c>
      <c r="M25" s="7">
        <v>-475.24107142857144</v>
      </c>
      <c r="N25" s="7">
        <v>-290.625</v>
      </c>
      <c r="O25" s="7">
        <v>-778.39285714285711</v>
      </c>
      <c r="P25" s="7">
        <v>-497.67857142857139</v>
      </c>
      <c r="Q25" s="6">
        <v>-867.99107142857133</v>
      </c>
      <c r="R25" s="6">
        <v>-2802.2767857142853</v>
      </c>
      <c r="S25" s="6">
        <v>-952.1875</v>
      </c>
      <c r="T25" s="6">
        <v>-1245</v>
      </c>
      <c r="U25" s="6">
        <v>-1074.1964285714284</v>
      </c>
      <c r="V25" s="16">
        <v>-4976.3392857142853</v>
      </c>
      <c r="W25" s="16">
        <v>-2083.0357142857142</v>
      </c>
      <c r="X25" s="16">
        <v>-2361.8303571428573</v>
      </c>
      <c r="Y25" s="16">
        <v>-2747.9910714285711</v>
      </c>
      <c r="Z25" s="16"/>
      <c r="AA25" s="6">
        <f t="shared" si="0"/>
        <v>-2207.2321428571427</v>
      </c>
      <c r="AB25" s="17">
        <f t="shared" si="1"/>
        <v>0.244994134541483</v>
      </c>
      <c r="AC25" s="20">
        <f t="shared" si="2"/>
        <v>-540.75892857142844</v>
      </c>
      <c r="AD25" s="6">
        <f t="shared" si="3"/>
        <v>-12221.857142857143</v>
      </c>
      <c r="AE25" s="32">
        <f t="shared" si="4"/>
        <v>-17929.553571428572</v>
      </c>
      <c r="AF25" s="29">
        <f t="shared" si="5"/>
        <v>0.46700729372435812</v>
      </c>
      <c r="AG25" s="32">
        <f t="shared" si="6"/>
        <v>-5707.6964285714294</v>
      </c>
      <c r="AH25" s="29">
        <f>AE25/AE26</f>
        <v>-7.5380242130167397E-5</v>
      </c>
    </row>
    <row r="26" spans="1:34" x14ac:dyDescent="0.25">
      <c r="A26" s="3" t="s">
        <v>33</v>
      </c>
      <c r="B26" s="10">
        <v>23041217.982142854</v>
      </c>
      <c r="C26" s="10">
        <v>13849382.624999996</v>
      </c>
      <c r="D26" s="10">
        <v>13543275.339285713</v>
      </c>
      <c r="E26" s="10">
        <v>23442351.187500004</v>
      </c>
      <c r="F26" s="10">
        <v>17141741.214285716</v>
      </c>
      <c r="G26" s="10">
        <v>20604128.714285713</v>
      </c>
      <c r="H26" s="10">
        <v>17035730.196428563</v>
      </c>
      <c r="I26" s="10">
        <v>27769072.84821428</v>
      </c>
      <c r="J26" s="10">
        <v>18672316.357142854</v>
      </c>
      <c r="K26" s="10">
        <v>20145265.589285713</v>
      </c>
      <c r="L26" s="10">
        <v>15026484.169642856</v>
      </c>
      <c r="M26" s="10">
        <v>20551463.776785713</v>
      </c>
      <c r="N26" s="10">
        <f t="shared" ref="N26:U26" si="7">SUM(N4:N25)</f>
        <v>17555355.392857142</v>
      </c>
      <c r="O26" s="10">
        <f t="shared" si="7"/>
        <v>27017067.267857146</v>
      </c>
      <c r="P26" s="10">
        <f t="shared" si="7"/>
        <v>24617980.053571425</v>
      </c>
      <c r="Q26" s="10">
        <f t="shared" si="7"/>
        <v>14447568.589285715</v>
      </c>
      <c r="R26" s="10">
        <f t="shared" si="7"/>
        <v>24373118.919642851</v>
      </c>
      <c r="S26" s="10">
        <f t="shared" si="7"/>
        <v>20854056.089285716</v>
      </c>
      <c r="T26" s="10">
        <f t="shared" si="7"/>
        <v>17680101.660714284</v>
      </c>
      <c r="U26" s="10">
        <f t="shared" si="7"/>
        <v>19746858.357142851</v>
      </c>
      <c r="V26" s="10">
        <f>SUM(V4:V25)</f>
        <v>25801457.500000007</v>
      </c>
      <c r="W26" s="10">
        <f>SUM(W4:W25)</f>
        <v>28134956.41071428</v>
      </c>
      <c r="X26" s="10">
        <f>SUM(X4:X25)</f>
        <v>17626295.089285716</v>
      </c>
      <c r="Y26" s="10">
        <f>SUM(Y4:Y25)</f>
        <v>13383906.875</v>
      </c>
      <c r="Z26" s="10">
        <f>SUM(Z4:Z25)</f>
        <v>24713254.946428575</v>
      </c>
      <c r="AA26" s="6">
        <f t="shared" si="0"/>
        <v>21567788.196428571</v>
      </c>
      <c r="AB26" s="17">
        <f t="shared" si="1"/>
        <v>-0.37944926233946175</v>
      </c>
      <c r="AC26" s="20">
        <f t="shared" si="2"/>
        <v>-8183881.3214285709</v>
      </c>
      <c r="AD26" s="6">
        <f t="shared" si="3"/>
        <v>210270966.22321427</v>
      </c>
      <c r="AE26" s="32">
        <f t="shared" si="4"/>
        <v>237854815.33035713</v>
      </c>
    </row>
    <row r="27" spans="1:34" x14ac:dyDescent="0.25">
      <c r="AD27" s="39">
        <f>AD26/11</f>
        <v>19115542.383928571</v>
      </c>
      <c r="AE27" s="39">
        <f>AE26/11</f>
        <v>21623165.030032467</v>
      </c>
      <c r="AF27" s="29">
        <f>AE27/AD27-1</f>
        <v>0.13118239575625035</v>
      </c>
      <c r="AG27" s="40">
        <f>AE27-AD27</f>
        <v>2507622.6461038962</v>
      </c>
      <c r="AH27" s="29"/>
    </row>
    <row r="28" spans="1:34" x14ac:dyDescent="0.25">
      <c r="A28" s="1" t="s">
        <v>57</v>
      </c>
    </row>
    <row r="29" spans="1:34" x14ac:dyDescent="0.25">
      <c r="A29" s="1" t="s">
        <v>34</v>
      </c>
    </row>
    <row r="30" spans="1:34" x14ac:dyDescent="0.25">
      <c r="A30" s="12" t="s">
        <v>2</v>
      </c>
      <c r="B30" s="12">
        <v>1</v>
      </c>
      <c r="C30" s="12">
        <v>2</v>
      </c>
      <c r="D30" s="12">
        <v>3</v>
      </c>
      <c r="E30" s="12">
        <v>4</v>
      </c>
      <c r="F30" s="12">
        <v>5</v>
      </c>
      <c r="G30" s="12">
        <v>6</v>
      </c>
      <c r="H30" s="12">
        <v>7</v>
      </c>
      <c r="I30" s="12">
        <v>8</v>
      </c>
      <c r="J30" s="12">
        <v>9</v>
      </c>
      <c r="K30" s="12">
        <v>10</v>
      </c>
      <c r="L30" s="12">
        <v>11</v>
      </c>
      <c r="M30" s="12">
        <v>12</v>
      </c>
      <c r="N30" s="12">
        <v>1</v>
      </c>
      <c r="O30" s="12">
        <v>2</v>
      </c>
      <c r="P30" s="12">
        <v>3</v>
      </c>
      <c r="Q30" s="12">
        <v>4</v>
      </c>
      <c r="R30" s="12">
        <v>5</v>
      </c>
      <c r="S30" s="12">
        <v>6</v>
      </c>
      <c r="T30" s="12">
        <v>7</v>
      </c>
      <c r="U30" s="3">
        <v>8</v>
      </c>
      <c r="V30" s="3">
        <v>9</v>
      </c>
      <c r="W30" s="3">
        <v>10</v>
      </c>
      <c r="X30" s="3">
        <v>11</v>
      </c>
      <c r="Y30" s="3">
        <v>12</v>
      </c>
      <c r="Z30" s="3">
        <v>1</v>
      </c>
      <c r="AA30" s="4" t="s">
        <v>3</v>
      </c>
      <c r="AB30" s="4" t="s">
        <v>4</v>
      </c>
      <c r="AC30" s="4" t="s">
        <v>5</v>
      </c>
      <c r="AD30" s="33" t="s">
        <v>58</v>
      </c>
      <c r="AE30" s="33" t="s">
        <v>38</v>
      </c>
      <c r="AF30" s="33" t="s">
        <v>39</v>
      </c>
      <c r="AG30" s="33" t="s">
        <v>40</v>
      </c>
    </row>
    <row r="31" spans="1:34" x14ac:dyDescent="0.25">
      <c r="A31" s="13" t="s">
        <v>41</v>
      </c>
      <c r="B31" s="6">
        <v>15000</v>
      </c>
      <c r="C31" s="6"/>
      <c r="D31" s="6">
        <v>4800</v>
      </c>
      <c r="E31" s="6">
        <v>5760</v>
      </c>
      <c r="F31" s="6">
        <v>7428</v>
      </c>
      <c r="G31" s="6">
        <v>3600</v>
      </c>
      <c r="H31" s="6">
        <v>9600</v>
      </c>
      <c r="I31" s="6">
        <v>7920</v>
      </c>
      <c r="J31" s="6">
        <v>6000</v>
      </c>
      <c r="K31" s="6">
        <v>5385</v>
      </c>
      <c r="L31" s="6">
        <v>3600</v>
      </c>
      <c r="M31" s="6">
        <v>5760</v>
      </c>
      <c r="N31" s="6">
        <v>5999</v>
      </c>
      <c r="O31" s="6">
        <v>7194</v>
      </c>
      <c r="P31" s="6">
        <v>8640</v>
      </c>
      <c r="Q31" s="6">
        <v>3218</v>
      </c>
      <c r="R31" s="6">
        <v>5760</v>
      </c>
      <c r="S31" s="6">
        <v>5400</v>
      </c>
      <c r="T31" s="6">
        <v>6600</v>
      </c>
      <c r="U31" s="6">
        <v>3599</v>
      </c>
      <c r="V31" s="6">
        <v>8400</v>
      </c>
      <c r="W31" s="6">
        <v>7200</v>
      </c>
      <c r="X31" s="6">
        <v>4076</v>
      </c>
      <c r="Y31" s="16">
        <v>4320</v>
      </c>
      <c r="Z31" s="16">
        <v>6480</v>
      </c>
      <c r="AA31" s="6">
        <f>SUM(U31:Z31)/6</f>
        <v>5679.166666666667</v>
      </c>
      <c r="AB31" s="19">
        <f>Y31/AA31-1</f>
        <v>-0.2393250183418929</v>
      </c>
      <c r="AC31" s="20">
        <f t="shared" ref="AC31:AC53" si="8">Z31-AA31</f>
        <v>800.83333333333303</v>
      </c>
      <c r="AD31" s="6">
        <f>SUM(B31:L31)</f>
        <v>69093</v>
      </c>
      <c r="AE31" s="6">
        <f>SUM(N31:X31)</f>
        <v>66086</v>
      </c>
      <c r="AF31" s="31">
        <f>AE31/AD31-1</f>
        <v>-4.3521051336604333E-2</v>
      </c>
      <c r="AG31" s="21">
        <f>AE31-AD31</f>
        <v>-3007</v>
      </c>
      <c r="AH31" s="43">
        <f>AE31/AE53</f>
        <v>0.20339661200571232</v>
      </c>
    </row>
    <row r="32" spans="1:34" x14ac:dyDescent="0.25">
      <c r="A32" s="13" t="s">
        <v>44</v>
      </c>
      <c r="B32" s="6">
        <v>1800</v>
      </c>
      <c r="C32" s="6">
        <v>1920</v>
      </c>
      <c r="D32" s="6">
        <v>2520</v>
      </c>
      <c r="E32" s="6">
        <v>3960</v>
      </c>
      <c r="F32" s="6">
        <v>2520</v>
      </c>
      <c r="G32" s="6">
        <v>2400</v>
      </c>
      <c r="H32" s="6">
        <v>2160</v>
      </c>
      <c r="I32" s="6">
        <v>3600</v>
      </c>
      <c r="J32" s="6">
        <v>3600</v>
      </c>
      <c r="K32" s="6">
        <v>2400</v>
      </c>
      <c r="L32" s="6">
        <v>2520</v>
      </c>
      <c r="M32" s="6">
        <v>2400</v>
      </c>
      <c r="N32" s="6">
        <v>2400</v>
      </c>
      <c r="O32" s="6">
        <v>4200</v>
      </c>
      <c r="P32" s="6">
        <v>3600</v>
      </c>
      <c r="Q32" s="6">
        <v>1800</v>
      </c>
      <c r="R32" s="6">
        <v>3840</v>
      </c>
      <c r="S32" s="6">
        <v>1920</v>
      </c>
      <c r="T32" s="6">
        <v>3240</v>
      </c>
      <c r="U32" s="6">
        <v>2520</v>
      </c>
      <c r="V32" s="6">
        <v>4200</v>
      </c>
      <c r="W32" s="6">
        <v>3600</v>
      </c>
      <c r="X32" s="6">
        <v>3640</v>
      </c>
      <c r="Y32" s="16">
        <v>1200</v>
      </c>
      <c r="Z32" s="16">
        <v>3000</v>
      </c>
      <c r="AA32" s="6">
        <f t="shared" ref="AA32:AA53" si="9">SUM(U32:Z32)/6</f>
        <v>3026.6666666666665</v>
      </c>
      <c r="AB32" s="19">
        <f t="shared" ref="AB32:AB53" si="10">Y32/AA32-1</f>
        <v>-0.6035242290748899</v>
      </c>
      <c r="AC32" s="20">
        <f t="shared" si="8"/>
        <v>-26.666666666666515</v>
      </c>
      <c r="AD32">
        <f t="shared" ref="AD32:AD53" si="11">SUM(B32:L32)</f>
        <v>29400</v>
      </c>
      <c r="AE32">
        <f t="shared" ref="AE32:AE53" si="12">SUM(N32:X32)</f>
        <v>34960</v>
      </c>
      <c r="AF32" s="30">
        <f t="shared" ref="AF32:AF53" si="13">AE32/AD32-1</f>
        <v>0.1891156462585033</v>
      </c>
      <c r="AG32" s="25">
        <f t="shared" ref="AG32:AG53" si="14">AE32-AD32</f>
        <v>5560</v>
      </c>
      <c r="AH32" s="43">
        <f>AE32/AE53</f>
        <v>0.10759836509577977</v>
      </c>
    </row>
    <row r="33" spans="1:34" x14ac:dyDescent="0.25">
      <c r="A33" s="13" t="s">
        <v>10</v>
      </c>
      <c r="B33" s="6">
        <v>2363</v>
      </c>
      <c r="C33" s="6">
        <v>3857</v>
      </c>
      <c r="D33" s="6">
        <v>5262</v>
      </c>
      <c r="E33" s="6">
        <v>5264</v>
      </c>
      <c r="F33" s="6">
        <v>3159</v>
      </c>
      <c r="G33" s="6">
        <v>4211</v>
      </c>
      <c r="H33" s="6">
        <v>3496</v>
      </c>
      <c r="I33" s="6">
        <v>7014</v>
      </c>
      <c r="J33" s="6">
        <v>4901</v>
      </c>
      <c r="K33" s="6">
        <v>4183</v>
      </c>
      <c r="L33" s="6">
        <v>4210</v>
      </c>
      <c r="M33" s="6">
        <v>5616</v>
      </c>
      <c r="N33" s="6">
        <v>3849</v>
      </c>
      <c r="O33" s="6">
        <v>6422</v>
      </c>
      <c r="P33" s="6">
        <v>3856</v>
      </c>
      <c r="Q33" s="6">
        <v>4360</v>
      </c>
      <c r="R33" s="6">
        <v>3848</v>
      </c>
      <c r="S33" s="6">
        <v>9117</v>
      </c>
      <c r="T33" s="6">
        <v>3508</v>
      </c>
      <c r="U33" s="6">
        <v>3502</v>
      </c>
      <c r="V33" s="6">
        <v>8060</v>
      </c>
      <c r="W33" s="6">
        <v>4197</v>
      </c>
      <c r="X33" s="6">
        <v>4091</v>
      </c>
      <c r="Y33" s="16">
        <v>4149</v>
      </c>
      <c r="Z33" s="16">
        <v>6318</v>
      </c>
      <c r="AA33" s="6">
        <f t="shared" si="9"/>
        <v>5052.833333333333</v>
      </c>
      <c r="AB33" s="19">
        <f t="shared" si="10"/>
        <v>-0.17887653791602065</v>
      </c>
      <c r="AC33" s="20">
        <f t="shared" si="8"/>
        <v>1265.166666666667</v>
      </c>
      <c r="AD33">
        <f t="shared" si="11"/>
        <v>47920</v>
      </c>
      <c r="AE33">
        <f t="shared" si="12"/>
        <v>54810</v>
      </c>
      <c r="AF33" s="30">
        <f t="shared" si="13"/>
        <v>0.14378130217028384</v>
      </c>
      <c r="AG33" s="25">
        <f t="shared" si="14"/>
        <v>6890</v>
      </c>
      <c r="AH33" s="43">
        <f>AE33/AE53</f>
        <v>0.16869183040330921</v>
      </c>
    </row>
    <row r="34" spans="1:34" x14ac:dyDescent="0.25">
      <c r="A34" s="13" t="s">
        <v>47</v>
      </c>
      <c r="B34" s="6">
        <v>3599</v>
      </c>
      <c r="C34" s="6">
        <v>3593</v>
      </c>
      <c r="D34" s="6">
        <v>2015</v>
      </c>
      <c r="E34" s="6">
        <v>4386</v>
      </c>
      <c r="F34" s="6">
        <v>2588</v>
      </c>
      <c r="G34" s="6">
        <v>2735</v>
      </c>
      <c r="H34" s="6">
        <v>2640</v>
      </c>
      <c r="I34" s="6">
        <v>5470</v>
      </c>
      <c r="J34" s="6">
        <v>2399</v>
      </c>
      <c r="K34" s="6">
        <v>4890</v>
      </c>
      <c r="L34" s="6">
        <v>2612</v>
      </c>
      <c r="M34" s="6">
        <v>3954</v>
      </c>
      <c r="N34" s="6">
        <v>3743</v>
      </c>
      <c r="O34" s="6">
        <v>2997</v>
      </c>
      <c r="P34" s="6">
        <v>5537</v>
      </c>
      <c r="Q34" s="6">
        <v>3000</v>
      </c>
      <c r="R34" s="6">
        <v>3600</v>
      </c>
      <c r="S34" s="6">
        <v>3832</v>
      </c>
      <c r="T34" s="6">
        <v>2400</v>
      </c>
      <c r="U34" s="6">
        <v>5039</v>
      </c>
      <c r="V34" s="6">
        <v>3589</v>
      </c>
      <c r="W34" s="6">
        <v>4200</v>
      </c>
      <c r="X34" s="6">
        <v>3600</v>
      </c>
      <c r="Y34" s="16">
        <v>2448</v>
      </c>
      <c r="Z34" s="16">
        <v>5472</v>
      </c>
      <c r="AA34" s="6">
        <f t="shared" si="9"/>
        <v>4058</v>
      </c>
      <c r="AB34" s="19">
        <f t="shared" si="10"/>
        <v>-0.39674716609167082</v>
      </c>
      <c r="AC34" s="20">
        <f t="shared" si="8"/>
        <v>1414</v>
      </c>
      <c r="AD34">
        <f t="shared" si="11"/>
        <v>36927</v>
      </c>
      <c r="AE34">
        <f t="shared" si="12"/>
        <v>41537</v>
      </c>
      <c r="AF34" s="30">
        <f t="shared" si="13"/>
        <v>0.12484090232079503</v>
      </c>
      <c r="AG34" s="25">
        <f t="shared" si="14"/>
        <v>4610</v>
      </c>
      <c r="AH34" s="43">
        <f>AE34/AE53</f>
        <v>0.12784076919288914</v>
      </c>
    </row>
    <row r="35" spans="1:34" x14ac:dyDescent="0.25">
      <c r="A35" s="13" t="s">
        <v>49</v>
      </c>
      <c r="B35" s="6">
        <v>800</v>
      </c>
      <c r="C35" s="6">
        <v>800</v>
      </c>
      <c r="D35" s="6">
        <v>1000</v>
      </c>
      <c r="E35" s="6">
        <v>1400</v>
      </c>
      <c r="F35" s="6">
        <v>1320</v>
      </c>
      <c r="G35" s="6">
        <v>660</v>
      </c>
      <c r="H35" s="6">
        <v>649</v>
      </c>
      <c r="I35" s="6">
        <v>1600</v>
      </c>
      <c r="J35" s="6">
        <v>1400</v>
      </c>
      <c r="K35" s="6">
        <v>800</v>
      </c>
      <c r="L35" s="6">
        <v>999</v>
      </c>
      <c r="M35" s="6">
        <v>1200</v>
      </c>
      <c r="N35" s="6">
        <v>600</v>
      </c>
      <c r="O35" s="6">
        <v>1560</v>
      </c>
      <c r="P35" s="6">
        <v>1200</v>
      </c>
      <c r="Q35" s="6">
        <v>800</v>
      </c>
      <c r="R35" s="6">
        <v>1200</v>
      </c>
      <c r="S35" s="6">
        <v>800</v>
      </c>
      <c r="T35" s="6">
        <v>1000</v>
      </c>
      <c r="U35" s="6">
        <v>1200</v>
      </c>
      <c r="V35" s="6">
        <v>1200</v>
      </c>
      <c r="W35" s="6">
        <v>1600</v>
      </c>
      <c r="X35" s="6">
        <v>1200</v>
      </c>
      <c r="Y35" s="16">
        <v>600</v>
      </c>
      <c r="Z35" s="16">
        <v>880</v>
      </c>
      <c r="AA35" s="6">
        <f t="shared" si="9"/>
        <v>1113.3333333333333</v>
      </c>
      <c r="AB35" s="19">
        <f t="shared" si="10"/>
        <v>-0.46107784431137722</v>
      </c>
      <c r="AC35" s="20">
        <f t="shared" si="8"/>
        <v>-233.33333333333326</v>
      </c>
      <c r="AD35">
        <f t="shared" si="11"/>
        <v>11428</v>
      </c>
      <c r="AE35">
        <f t="shared" si="12"/>
        <v>12360</v>
      </c>
      <c r="AF35" s="30">
        <f t="shared" si="13"/>
        <v>8.155407770388523E-2</v>
      </c>
      <c r="AG35" s="25">
        <f t="shared" si="14"/>
        <v>932</v>
      </c>
      <c r="AH35" s="43">
        <f>AE35/AE53</f>
        <v>3.8041069581917566E-2</v>
      </c>
    </row>
    <row r="36" spans="1:34" x14ac:dyDescent="0.25">
      <c r="A36" s="13" t="s">
        <v>13</v>
      </c>
      <c r="B36" s="6">
        <v>3597</v>
      </c>
      <c r="C36" s="6">
        <v>4497</v>
      </c>
      <c r="D36" s="6">
        <v>2249</v>
      </c>
      <c r="E36" s="6">
        <v>5000</v>
      </c>
      <c r="F36" s="6">
        <v>2238</v>
      </c>
      <c r="G36" s="6">
        <v>2692</v>
      </c>
      <c r="H36" s="6">
        <v>2698</v>
      </c>
      <c r="I36" s="6">
        <v>5823</v>
      </c>
      <c r="J36" s="6">
        <v>1767</v>
      </c>
      <c r="K36" s="6">
        <v>4713</v>
      </c>
      <c r="L36" s="6">
        <v>3446</v>
      </c>
      <c r="M36" s="6">
        <v>2333</v>
      </c>
      <c r="N36" s="6">
        <v>3175</v>
      </c>
      <c r="O36" s="6">
        <v>4032</v>
      </c>
      <c r="P36" s="6">
        <v>3956</v>
      </c>
      <c r="Q36" s="6">
        <v>2467</v>
      </c>
      <c r="R36" s="6">
        <v>5379</v>
      </c>
      <c r="S36" s="6">
        <v>2827</v>
      </c>
      <c r="T36" s="6">
        <v>3356</v>
      </c>
      <c r="U36" s="6">
        <v>3068</v>
      </c>
      <c r="V36" s="6">
        <v>3589</v>
      </c>
      <c r="W36" s="6">
        <v>4465</v>
      </c>
      <c r="X36" s="6">
        <v>2490</v>
      </c>
      <c r="Y36" s="16">
        <v>2115</v>
      </c>
      <c r="Z36" s="16">
        <v>4044</v>
      </c>
      <c r="AA36" s="6">
        <f t="shared" si="9"/>
        <v>3295.1666666666665</v>
      </c>
      <c r="AB36" s="19">
        <f t="shared" si="10"/>
        <v>-0.35815082696879263</v>
      </c>
      <c r="AC36" s="20">
        <f t="shared" si="8"/>
        <v>748.83333333333348</v>
      </c>
      <c r="AD36">
        <f t="shared" si="11"/>
        <v>38720</v>
      </c>
      <c r="AE36">
        <f t="shared" si="12"/>
        <v>38804</v>
      </c>
      <c r="AF36" s="30">
        <f t="shared" si="13"/>
        <v>2.1694214876033513E-3</v>
      </c>
      <c r="AG36" s="25">
        <f t="shared" si="14"/>
        <v>84</v>
      </c>
      <c r="AH36" s="43">
        <f>AE36/AE53</f>
        <v>0.11942926084601369</v>
      </c>
    </row>
    <row r="37" spans="1:34" x14ac:dyDescent="0.25">
      <c r="A37" s="13" t="s">
        <v>50</v>
      </c>
      <c r="B37" s="6">
        <v>704</v>
      </c>
      <c r="C37" s="6">
        <v>917</v>
      </c>
      <c r="D37" s="6">
        <v>890</v>
      </c>
      <c r="E37" s="6">
        <v>1646</v>
      </c>
      <c r="F37" s="6">
        <v>1173</v>
      </c>
      <c r="G37" s="6">
        <v>2302</v>
      </c>
      <c r="H37" s="6">
        <v>719</v>
      </c>
      <c r="I37" s="6">
        <v>2592</v>
      </c>
      <c r="J37" s="6">
        <v>1440</v>
      </c>
      <c r="K37" s="6">
        <v>2255</v>
      </c>
      <c r="L37" s="6">
        <v>1200</v>
      </c>
      <c r="M37" s="6">
        <v>2880</v>
      </c>
      <c r="N37" s="6">
        <v>1770</v>
      </c>
      <c r="O37" s="6">
        <v>1100</v>
      </c>
      <c r="P37" s="6">
        <v>2909</v>
      </c>
      <c r="Q37" s="6">
        <v>1078</v>
      </c>
      <c r="R37" s="6">
        <v>1435</v>
      </c>
      <c r="S37" s="6">
        <v>1670</v>
      </c>
      <c r="T37" s="6">
        <v>1798</v>
      </c>
      <c r="U37" s="6">
        <v>1424</v>
      </c>
      <c r="V37" s="6">
        <v>1897</v>
      </c>
      <c r="W37" s="6">
        <v>3598</v>
      </c>
      <c r="X37" s="6">
        <v>830</v>
      </c>
      <c r="Y37" s="16">
        <v>696</v>
      </c>
      <c r="Z37" s="16">
        <v>2397</v>
      </c>
      <c r="AA37" s="6">
        <f t="shared" si="9"/>
        <v>1807</v>
      </c>
      <c r="AB37" s="19">
        <f t="shared" si="10"/>
        <v>-0.61483121195351409</v>
      </c>
      <c r="AC37" s="20">
        <f t="shared" si="8"/>
        <v>590</v>
      </c>
      <c r="AD37">
        <f t="shared" si="11"/>
        <v>15838</v>
      </c>
      <c r="AE37">
        <f t="shared" si="12"/>
        <v>19509</v>
      </c>
      <c r="AF37" s="30">
        <f t="shared" si="13"/>
        <v>0.2317843162015405</v>
      </c>
      <c r="AG37" s="25">
        <f t="shared" si="14"/>
        <v>3671</v>
      </c>
      <c r="AH37" s="43">
        <f>AE37/AE53</f>
        <v>6.0043950361944154E-2</v>
      </c>
    </row>
    <row r="38" spans="1:34" x14ac:dyDescent="0.25">
      <c r="A38" s="13" t="s">
        <v>51</v>
      </c>
      <c r="B38" s="6">
        <v>1348</v>
      </c>
      <c r="C38" s="6">
        <v>1798</v>
      </c>
      <c r="D38" s="6">
        <v>440</v>
      </c>
      <c r="E38" s="6">
        <v>1797</v>
      </c>
      <c r="F38" s="6">
        <v>1345</v>
      </c>
      <c r="G38" s="6">
        <v>1137</v>
      </c>
      <c r="H38" s="6">
        <v>1620</v>
      </c>
      <c r="I38" s="6">
        <v>1919</v>
      </c>
      <c r="J38" s="6">
        <v>1616</v>
      </c>
      <c r="K38" s="6">
        <v>928</v>
      </c>
      <c r="L38" s="6">
        <v>898</v>
      </c>
      <c r="M38" s="6">
        <v>2250</v>
      </c>
      <c r="N38" s="6">
        <v>1349</v>
      </c>
      <c r="O38" s="6">
        <v>2248</v>
      </c>
      <c r="P38" s="6">
        <v>1346</v>
      </c>
      <c r="Q38" s="6">
        <v>899</v>
      </c>
      <c r="R38" s="6">
        <v>1349</v>
      </c>
      <c r="S38" s="6">
        <v>1350</v>
      </c>
      <c r="T38" s="6">
        <v>896</v>
      </c>
      <c r="U38" s="6">
        <v>897</v>
      </c>
      <c r="V38" s="6">
        <v>1333</v>
      </c>
      <c r="W38" s="6">
        <v>1347</v>
      </c>
      <c r="X38" s="6">
        <v>1336</v>
      </c>
      <c r="Y38" s="16">
        <v>895</v>
      </c>
      <c r="Z38" s="16">
        <v>1800</v>
      </c>
      <c r="AA38" s="6">
        <f t="shared" si="9"/>
        <v>1268</v>
      </c>
      <c r="AB38" s="19">
        <f t="shared" si="10"/>
        <v>-0.29416403785488954</v>
      </c>
      <c r="AC38" s="20">
        <f t="shared" si="8"/>
        <v>532</v>
      </c>
      <c r="AD38">
        <f t="shared" si="11"/>
        <v>14846</v>
      </c>
      <c r="AE38">
        <f t="shared" si="12"/>
        <v>14350</v>
      </c>
      <c r="AF38" s="31">
        <f t="shared" si="13"/>
        <v>-3.3409672639094667E-2</v>
      </c>
      <c r="AG38" s="21">
        <f t="shared" si="14"/>
        <v>-496</v>
      </c>
      <c r="AH38" s="43">
        <f>AE38/AE53</f>
        <v>4.4165804894863839E-2</v>
      </c>
    </row>
    <row r="39" spans="1:34" x14ac:dyDescent="0.25">
      <c r="A39" s="13" t="s">
        <v>52</v>
      </c>
      <c r="B39" s="6">
        <v>1271</v>
      </c>
      <c r="C39" s="6">
        <v>2684</v>
      </c>
      <c r="D39" s="6">
        <v>-7</v>
      </c>
      <c r="E39" s="6">
        <v>2469</v>
      </c>
      <c r="F39" s="6">
        <v>874</v>
      </c>
      <c r="G39" s="6">
        <v>860</v>
      </c>
      <c r="H39" s="6">
        <v>897</v>
      </c>
      <c r="I39" s="6">
        <v>2395</v>
      </c>
      <c r="J39" s="6">
        <v>1256</v>
      </c>
      <c r="K39" s="6">
        <v>689</v>
      </c>
      <c r="L39" s="6">
        <v>432</v>
      </c>
      <c r="M39" s="6">
        <v>1765</v>
      </c>
      <c r="N39" s="6">
        <v>943</v>
      </c>
      <c r="O39" s="6">
        <v>1476</v>
      </c>
      <c r="P39" s="6">
        <v>495</v>
      </c>
      <c r="Q39" s="6">
        <v>900</v>
      </c>
      <c r="R39" s="6">
        <v>898</v>
      </c>
      <c r="S39" s="6">
        <v>939</v>
      </c>
      <c r="T39" s="6">
        <v>937</v>
      </c>
      <c r="U39" s="6">
        <v>463</v>
      </c>
      <c r="V39" s="6">
        <v>903</v>
      </c>
      <c r="W39" s="6">
        <v>1340</v>
      </c>
      <c r="X39" s="6">
        <v>894</v>
      </c>
      <c r="Y39" s="16">
        <v>899</v>
      </c>
      <c r="Z39" s="16">
        <v>900</v>
      </c>
      <c r="AA39" s="6">
        <f t="shared" si="9"/>
        <v>899.83333333333337</v>
      </c>
      <c r="AB39" s="19">
        <f t="shared" si="10"/>
        <v>-9.26097425449246E-4</v>
      </c>
      <c r="AC39" s="20">
        <f t="shared" si="8"/>
        <v>0.16666666666662877</v>
      </c>
      <c r="AD39">
        <f t="shared" si="11"/>
        <v>13820</v>
      </c>
      <c r="AE39">
        <f t="shared" si="12"/>
        <v>10188</v>
      </c>
      <c r="AF39" s="31">
        <f t="shared" si="13"/>
        <v>-0.26280752532561502</v>
      </c>
      <c r="AG39" s="21">
        <f t="shared" si="14"/>
        <v>-3632</v>
      </c>
      <c r="AH39" s="43">
        <f>AE39/AE53</f>
        <v>3.1356182597133991E-2</v>
      </c>
    </row>
    <row r="40" spans="1:34" x14ac:dyDescent="0.25">
      <c r="A40" s="13" t="s">
        <v>17</v>
      </c>
      <c r="B40" s="6">
        <v>6093</v>
      </c>
      <c r="C40" s="6"/>
      <c r="D40" s="6"/>
      <c r="E40" s="6"/>
      <c r="F40" s="6"/>
      <c r="G40" s="6">
        <v>-8</v>
      </c>
      <c r="H40" s="6">
        <v>-6</v>
      </c>
      <c r="I40" s="6">
        <v>252</v>
      </c>
      <c r="J40" s="6">
        <v>356</v>
      </c>
      <c r="K40" s="6">
        <v>185</v>
      </c>
      <c r="L40" s="6">
        <v>243</v>
      </c>
      <c r="M40" s="6">
        <v>-25</v>
      </c>
      <c r="N40" s="6">
        <v>281</v>
      </c>
      <c r="O40" s="6">
        <v>-66</v>
      </c>
      <c r="P40" s="6">
        <v>-787</v>
      </c>
      <c r="Q40" s="6">
        <v>-556</v>
      </c>
      <c r="R40" s="6">
        <v>100</v>
      </c>
      <c r="S40" s="6">
        <v>314</v>
      </c>
      <c r="T40" s="6">
        <v>216</v>
      </c>
      <c r="U40" s="6">
        <v>112</v>
      </c>
      <c r="V40" s="6">
        <v>279</v>
      </c>
      <c r="W40" s="6">
        <v>297</v>
      </c>
      <c r="X40" s="6">
        <v>137</v>
      </c>
      <c r="Y40" s="16">
        <v>93</v>
      </c>
      <c r="Z40" s="16">
        <v>250</v>
      </c>
      <c r="AA40" s="6">
        <f t="shared" si="9"/>
        <v>194.66666666666666</v>
      </c>
      <c r="AB40" s="19">
        <f t="shared" si="10"/>
        <v>-0.52226027397260277</v>
      </c>
      <c r="AC40" s="20">
        <f t="shared" si="8"/>
        <v>55.333333333333343</v>
      </c>
      <c r="AD40">
        <f t="shared" si="11"/>
        <v>7115</v>
      </c>
      <c r="AE40">
        <f t="shared" si="12"/>
        <v>327</v>
      </c>
      <c r="AF40" s="31">
        <f t="shared" si="13"/>
        <v>-0.95404075895994378</v>
      </c>
      <c r="AG40" s="21">
        <f t="shared" si="14"/>
        <v>-6788</v>
      </c>
      <c r="AH40" s="43">
        <f>AE40/AE53</f>
        <v>1.0064263554439355E-3</v>
      </c>
    </row>
    <row r="41" spans="1:34" x14ac:dyDescent="0.25">
      <c r="A41" s="13" t="s">
        <v>18</v>
      </c>
      <c r="B41" s="6"/>
      <c r="C41" s="6"/>
      <c r="D41" s="6"/>
      <c r="E41" s="6"/>
      <c r="F41" s="6"/>
      <c r="G41" s="6">
        <v>3600</v>
      </c>
      <c r="H41" s="6"/>
      <c r="I41" s="6"/>
      <c r="J41" s="6"/>
      <c r="K41" s="6"/>
      <c r="L41" s="6"/>
      <c r="M41" s="6"/>
      <c r="N41" s="6">
        <v>262</v>
      </c>
      <c r="O41" s="6">
        <v>394</v>
      </c>
      <c r="P41" s="6">
        <v>522</v>
      </c>
      <c r="Q41" s="6">
        <v>786</v>
      </c>
      <c r="R41" s="6">
        <v>972</v>
      </c>
      <c r="S41" s="6">
        <v>813</v>
      </c>
      <c r="T41" s="6"/>
      <c r="U41" s="6">
        <v>-2</v>
      </c>
      <c r="V41" s="6">
        <v>1093</v>
      </c>
      <c r="W41" s="6">
        <v>2377</v>
      </c>
      <c r="X41" s="6">
        <v>469</v>
      </c>
      <c r="Y41" s="16">
        <v>471</v>
      </c>
      <c r="Z41" s="16">
        <v>957</v>
      </c>
      <c r="AA41" s="6">
        <f t="shared" si="9"/>
        <v>894.16666666666663</v>
      </c>
      <c r="AB41" s="19">
        <f t="shared" si="10"/>
        <v>-0.47325256290773532</v>
      </c>
      <c r="AC41" s="20">
        <f t="shared" si="8"/>
        <v>62.833333333333371</v>
      </c>
      <c r="AD41">
        <f t="shared" si="11"/>
        <v>3600</v>
      </c>
      <c r="AE41">
        <f t="shared" si="12"/>
        <v>7686</v>
      </c>
      <c r="AF41" s="30">
        <f t="shared" si="13"/>
        <v>1.1349999999999998</v>
      </c>
      <c r="AG41" s="25">
        <f t="shared" si="14"/>
        <v>4086</v>
      </c>
      <c r="AH41" s="43">
        <f>AE41/AE53</f>
        <v>2.3655635987590486E-2</v>
      </c>
    </row>
    <row r="42" spans="1:34" x14ac:dyDescent="0.25">
      <c r="A42" s="13" t="s">
        <v>53</v>
      </c>
      <c r="B42" s="6">
        <v>720</v>
      </c>
      <c r="C42" s="6">
        <v>600</v>
      </c>
      <c r="D42" s="6">
        <v>240</v>
      </c>
      <c r="E42" s="6">
        <v>1248</v>
      </c>
      <c r="F42" s="6">
        <v>1080</v>
      </c>
      <c r="G42" s="6">
        <v>576</v>
      </c>
      <c r="H42" s="6">
        <v>720</v>
      </c>
      <c r="I42" s="6">
        <v>1080</v>
      </c>
      <c r="J42" s="6">
        <v>1200</v>
      </c>
      <c r="K42" s="6">
        <v>576</v>
      </c>
      <c r="L42" s="6">
        <v>960</v>
      </c>
      <c r="M42" s="6">
        <v>888</v>
      </c>
      <c r="N42" s="6">
        <v>504</v>
      </c>
      <c r="O42" s="6">
        <v>1200</v>
      </c>
      <c r="P42" s="6">
        <v>1344</v>
      </c>
      <c r="Q42" s="6">
        <v>660</v>
      </c>
      <c r="R42" s="6">
        <v>1296</v>
      </c>
      <c r="S42" s="6">
        <v>720</v>
      </c>
      <c r="T42" s="6">
        <v>1152</v>
      </c>
      <c r="U42" s="6">
        <v>840</v>
      </c>
      <c r="V42" s="6">
        <v>1200</v>
      </c>
      <c r="W42" s="6">
        <v>1440</v>
      </c>
      <c r="X42" s="6">
        <v>816</v>
      </c>
      <c r="Y42" s="16">
        <v>720</v>
      </c>
      <c r="Z42" s="16">
        <v>1080</v>
      </c>
      <c r="AA42" s="6">
        <f t="shared" si="9"/>
        <v>1016</v>
      </c>
      <c r="AB42" s="19">
        <f t="shared" si="10"/>
        <v>-0.29133858267716539</v>
      </c>
      <c r="AC42" s="20">
        <f t="shared" si="8"/>
        <v>64</v>
      </c>
      <c r="AD42">
        <f t="shared" si="11"/>
        <v>9000</v>
      </c>
      <c r="AE42">
        <f t="shared" si="12"/>
        <v>11172</v>
      </c>
      <c r="AF42" s="30">
        <f t="shared" si="13"/>
        <v>0.2413333333333334</v>
      </c>
      <c r="AG42" s="25">
        <f t="shared" si="14"/>
        <v>2172</v>
      </c>
      <c r="AH42" s="43">
        <f>AE42/AE53</f>
        <v>3.4384694932781797E-2</v>
      </c>
    </row>
    <row r="43" spans="1:34" x14ac:dyDescent="0.25">
      <c r="A43" s="13" t="s">
        <v>20</v>
      </c>
      <c r="B43" s="6">
        <v>685</v>
      </c>
      <c r="C43" s="6">
        <v>1028</v>
      </c>
      <c r="D43" s="6">
        <v>338</v>
      </c>
      <c r="E43" s="6">
        <v>1013</v>
      </c>
      <c r="F43" s="6">
        <v>1032</v>
      </c>
      <c r="G43" s="6">
        <v>647</v>
      </c>
      <c r="H43" s="6">
        <v>876</v>
      </c>
      <c r="I43" s="6">
        <v>1241</v>
      </c>
      <c r="J43" s="6">
        <v>676</v>
      </c>
      <c r="K43" s="6">
        <v>827</v>
      </c>
      <c r="L43" s="6">
        <v>769</v>
      </c>
      <c r="M43" s="6">
        <v>770</v>
      </c>
      <c r="N43" s="6">
        <v>2078</v>
      </c>
      <c r="O43" s="6">
        <v>-72</v>
      </c>
      <c r="P43" s="6">
        <v>-154</v>
      </c>
      <c r="Q43" s="6">
        <v>-27</v>
      </c>
      <c r="R43" s="6">
        <v>-1</v>
      </c>
      <c r="S43" s="6"/>
      <c r="T43" s="6">
        <v>-38</v>
      </c>
      <c r="U43" s="6">
        <v>-134</v>
      </c>
      <c r="V43" s="6">
        <v>2100</v>
      </c>
      <c r="W43" s="6">
        <v>1400</v>
      </c>
      <c r="X43" s="6"/>
      <c r="Y43" s="6">
        <v>351</v>
      </c>
      <c r="Z43" s="6"/>
      <c r="AA43" s="6">
        <f t="shared" si="9"/>
        <v>619.5</v>
      </c>
      <c r="AB43" s="19">
        <f t="shared" si="10"/>
        <v>-0.43341404358353508</v>
      </c>
      <c r="AC43" s="20">
        <f t="shared" si="8"/>
        <v>-619.5</v>
      </c>
      <c r="AD43">
        <f t="shared" si="11"/>
        <v>9132</v>
      </c>
      <c r="AE43">
        <f t="shared" si="12"/>
        <v>5152</v>
      </c>
      <c r="AF43" s="31">
        <f t="shared" si="13"/>
        <v>-0.43583004818221638</v>
      </c>
      <c r="AG43" s="21">
        <f t="shared" si="14"/>
        <v>-3980</v>
      </c>
      <c r="AH43" s="43">
        <f>AE43/AE53</f>
        <v>1.5856601172009651E-2</v>
      </c>
    </row>
    <row r="44" spans="1:34" x14ac:dyDescent="0.25">
      <c r="A44" s="13" t="s">
        <v>21</v>
      </c>
      <c r="B44" s="6"/>
      <c r="C44" s="6"/>
      <c r="D44" s="6"/>
      <c r="E44" s="6"/>
      <c r="F44" s="6"/>
      <c r="G44" s="6"/>
      <c r="H44" s="6"/>
      <c r="I44" s="6"/>
      <c r="J44" s="6"/>
      <c r="K44" s="6">
        <v>3120</v>
      </c>
      <c r="L44" s="6"/>
      <c r="M44" s="6">
        <v>360</v>
      </c>
      <c r="N44" s="6">
        <v>-1</v>
      </c>
      <c r="O44" s="6">
        <v>180</v>
      </c>
      <c r="P44" s="6"/>
      <c r="Q44" s="6">
        <v>180</v>
      </c>
      <c r="R44" s="6">
        <v>120</v>
      </c>
      <c r="S44" s="6">
        <v>240</v>
      </c>
      <c r="T44" s="6">
        <v>238</v>
      </c>
      <c r="U44" s="6">
        <v>398</v>
      </c>
      <c r="V44" s="6">
        <v>279</v>
      </c>
      <c r="W44" s="6">
        <v>540</v>
      </c>
      <c r="X44" s="6">
        <v>251</v>
      </c>
      <c r="Y44" s="6">
        <v>144</v>
      </c>
      <c r="Z44" s="6">
        <v>384</v>
      </c>
      <c r="AA44" s="6">
        <f t="shared" si="9"/>
        <v>332.66666666666669</v>
      </c>
      <c r="AB44" s="19">
        <f t="shared" si="10"/>
        <v>-0.56713426853707416</v>
      </c>
      <c r="AC44" s="20">
        <f t="shared" si="8"/>
        <v>51.333333333333314</v>
      </c>
      <c r="AD44">
        <f t="shared" si="11"/>
        <v>3120</v>
      </c>
      <c r="AE44">
        <f t="shared" si="12"/>
        <v>2425</v>
      </c>
      <c r="AF44" s="31">
        <f t="shared" si="13"/>
        <v>-0.22275641025641024</v>
      </c>
      <c r="AG44" s="21">
        <f t="shared" si="14"/>
        <v>-695</v>
      </c>
      <c r="AH44" s="43">
        <f>AE44/AE53</f>
        <v>7.4635593637661889E-3</v>
      </c>
    </row>
    <row r="45" spans="1:34" x14ac:dyDescent="0.25">
      <c r="A45" s="13" t="s">
        <v>54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1619</v>
      </c>
      <c r="P45" s="6"/>
      <c r="Q45" s="6"/>
      <c r="R45" s="6">
        <v>1200</v>
      </c>
      <c r="S45" s="6"/>
      <c r="T45" s="6"/>
      <c r="U45" s="6">
        <v>-2</v>
      </c>
      <c r="V45" s="6">
        <v>-300</v>
      </c>
      <c r="W45" s="6"/>
      <c r="X45" s="6">
        <v>-300</v>
      </c>
      <c r="Y45" s="6"/>
      <c r="Z45" s="6"/>
      <c r="AA45" s="6">
        <f t="shared" si="9"/>
        <v>-100.33333333333333</v>
      </c>
      <c r="AB45" s="19">
        <f t="shared" si="10"/>
        <v>-1</v>
      </c>
      <c r="AC45" s="20">
        <f t="shared" si="8"/>
        <v>100.33333333333333</v>
      </c>
      <c r="AD45">
        <f t="shared" si="11"/>
        <v>0</v>
      </c>
      <c r="AE45">
        <f t="shared" si="12"/>
        <v>2217</v>
      </c>
      <c r="AF45" s="29" t="e">
        <f t="shared" si="13"/>
        <v>#DIV/0!</v>
      </c>
      <c r="AG45" s="6">
        <f t="shared" si="14"/>
        <v>2217</v>
      </c>
      <c r="AH45" s="43">
        <f>AE45/AE53</f>
        <v>6.8233860245235636E-3</v>
      </c>
    </row>
    <row r="46" spans="1:34" x14ac:dyDescent="0.25">
      <c r="A46" s="13" t="s">
        <v>23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1200</v>
      </c>
      <c r="V46" s="6"/>
      <c r="W46" s="6">
        <v>36</v>
      </c>
      <c r="X46" s="6">
        <v>36</v>
      </c>
      <c r="Y46" s="16">
        <v>-1</v>
      </c>
      <c r="Z46" s="16"/>
      <c r="AA46" s="6">
        <f t="shared" si="9"/>
        <v>211.83333333333334</v>
      </c>
      <c r="AB46" s="19">
        <f t="shared" si="10"/>
        <v>-1.0047206923682139</v>
      </c>
      <c r="AC46" s="20">
        <f t="shared" si="8"/>
        <v>-211.83333333333334</v>
      </c>
      <c r="AD46">
        <f t="shared" si="11"/>
        <v>0</v>
      </c>
      <c r="AE46">
        <f t="shared" si="12"/>
        <v>1272</v>
      </c>
      <c r="AF46" s="29" t="e">
        <f t="shared" si="13"/>
        <v>#DIV/0!</v>
      </c>
      <c r="AG46" s="6">
        <f t="shared" si="14"/>
        <v>1272</v>
      </c>
      <c r="AH46" s="44"/>
    </row>
    <row r="47" spans="1:34" hidden="1" x14ac:dyDescent="0.25">
      <c r="A47" s="13" t="s">
        <v>24</v>
      </c>
      <c r="B47" s="6">
        <v>707</v>
      </c>
      <c r="C47" s="6">
        <v>-14</v>
      </c>
      <c r="D47" s="6">
        <v>-18</v>
      </c>
      <c r="E47" s="6">
        <v>1049</v>
      </c>
      <c r="F47" s="6">
        <v>210</v>
      </c>
      <c r="G47" s="6">
        <v>719</v>
      </c>
      <c r="H47" s="6">
        <v>453</v>
      </c>
      <c r="I47" s="6">
        <v>163</v>
      </c>
      <c r="J47" s="6">
        <v>123</v>
      </c>
      <c r="K47" s="6">
        <v>330</v>
      </c>
      <c r="L47" s="6">
        <v>-2</v>
      </c>
      <c r="M47" s="6">
        <v>528</v>
      </c>
      <c r="N47" s="6">
        <v>540</v>
      </c>
      <c r="O47" s="6">
        <v>432</v>
      </c>
      <c r="P47" s="6"/>
      <c r="Q47" s="6"/>
      <c r="R47" s="6"/>
      <c r="S47" s="6"/>
      <c r="T47" s="6"/>
      <c r="U47" s="6"/>
      <c r="V47" s="6"/>
      <c r="W47" s="6"/>
      <c r="X47" s="6"/>
      <c r="Y47" s="6">
        <v>48</v>
      </c>
      <c r="Z47" s="6"/>
      <c r="AA47" s="6">
        <f t="shared" si="9"/>
        <v>8</v>
      </c>
      <c r="AB47" s="19">
        <f t="shared" si="10"/>
        <v>5</v>
      </c>
      <c r="AC47" s="20">
        <f t="shared" si="8"/>
        <v>-8</v>
      </c>
      <c r="AD47">
        <f t="shared" si="11"/>
        <v>3720</v>
      </c>
      <c r="AE47">
        <f t="shared" si="12"/>
        <v>972</v>
      </c>
      <c r="AF47" s="29">
        <f t="shared" si="13"/>
        <v>-0.73870967741935489</v>
      </c>
      <c r="AG47" s="6">
        <f t="shared" si="14"/>
        <v>-2748</v>
      </c>
      <c r="AH47" s="44"/>
    </row>
    <row r="48" spans="1:34" hidden="1" x14ac:dyDescent="0.25">
      <c r="A48" s="13" t="s">
        <v>25</v>
      </c>
      <c r="B48" s="6">
        <v>-6</v>
      </c>
      <c r="C48" s="6">
        <v>-8</v>
      </c>
      <c r="D48" s="6"/>
      <c r="E48" s="6"/>
      <c r="F48" s="6">
        <v>-5</v>
      </c>
      <c r="G48" s="6">
        <v>-1</v>
      </c>
      <c r="H48" s="6">
        <v>-2</v>
      </c>
      <c r="I48" s="6"/>
      <c r="J48" s="6">
        <v>-1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f t="shared" si="9"/>
        <v>0</v>
      </c>
      <c r="AB48" s="19" t="e">
        <f t="shared" si="10"/>
        <v>#DIV/0!</v>
      </c>
      <c r="AC48" s="20">
        <f t="shared" si="8"/>
        <v>0</v>
      </c>
      <c r="AD48">
        <f t="shared" si="11"/>
        <v>-23</v>
      </c>
      <c r="AE48">
        <f t="shared" si="12"/>
        <v>0</v>
      </c>
      <c r="AF48" s="29">
        <f t="shared" si="13"/>
        <v>-1</v>
      </c>
      <c r="AG48" s="6">
        <f t="shared" si="14"/>
        <v>23</v>
      </c>
      <c r="AH48" s="44"/>
    </row>
    <row r="49" spans="1:34" hidden="1" x14ac:dyDescent="0.25">
      <c r="A49" s="13" t="s">
        <v>26</v>
      </c>
      <c r="B49" s="6"/>
      <c r="C49" s="6">
        <v>-1</v>
      </c>
      <c r="D49" s="6"/>
      <c r="E49" s="6"/>
      <c r="F49" s="6">
        <v>-10</v>
      </c>
      <c r="G49" s="6">
        <v>-12</v>
      </c>
      <c r="H49" s="6">
        <v>-14</v>
      </c>
      <c r="I49" s="6"/>
      <c r="J49" s="6">
        <v>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-4</v>
      </c>
      <c r="AA49" s="6">
        <f t="shared" si="9"/>
        <v>-0.66666666666666663</v>
      </c>
      <c r="AB49" s="19">
        <f t="shared" si="10"/>
        <v>-1</v>
      </c>
      <c r="AC49" s="20">
        <f t="shared" si="8"/>
        <v>-3.3333333333333335</v>
      </c>
      <c r="AD49">
        <f t="shared" si="11"/>
        <v>-42</v>
      </c>
      <c r="AE49">
        <f t="shared" si="12"/>
        <v>0</v>
      </c>
      <c r="AF49" s="29">
        <f t="shared" si="13"/>
        <v>-1</v>
      </c>
      <c r="AG49" s="6">
        <f t="shared" si="14"/>
        <v>42</v>
      </c>
      <c r="AH49" s="44"/>
    </row>
    <row r="50" spans="1:34" hidden="1" x14ac:dyDescent="0.25">
      <c r="A50" s="13" t="s">
        <v>28</v>
      </c>
      <c r="B50" s="6"/>
      <c r="C50" s="6"/>
      <c r="D50" s="6"/>
      <c r="E50" s="6"/>
      <c r="F50" s="6"/>
      <c r="G50" s="6"/>
      <c r="H50" s="6"/>
      <c r="I50" s="6">
        <v>-3</v>
      </c>
      <c r="J50" s="6">
        <v>-3</v>
      </c>
      <c r="K50" s="6"/>
      <c r="L50" s="6"/>
      <c r="M50" s="6"/>
      <c r="N50" s="6"/>
      <c r="O50" s="6">
        <v>-4</v>
      </c>
      <c r="P50" s="6"/>
      <c r="Q50" s="6"/>
      <c r="R50" s="6"/>
      <c r="S50" s="6"/>
      <c r="T50" s="6"/>
      <c r="U50" s="6">
        <v>576</v>
      </c>
      <c r="V50" s="6">
        <v>576</v>
      </c>
      <c r="W50" s="6"/>
      <c r="X50" s="6"/>
      <c r="Y50" s="6"/>
      <c r="Z50" s="6"/>
      <c r="AA50" s="6">
        <f t="shared" si="9"/>
        <v>192</v>
      </c>
      <c r="AB50" s="19">
        <f t="shared" si="10"/>
        <v>-1</v>
      </c>
      <c r="AC50" s="20">
        <f t="shared" si="8"/>
        <v>-192</v>
      </c>
      <c r="AD50">
        <f t="shared" si="11"/>
        <v>-6</v>
      </c>
      <c r="AE50">
        <f t="shared" si="12"/>
        <v>1148</v>
      </c>
      <c r="AF50" s="29">
        <f t="shared" si="13"/>
        <v>-192.33333333333334</v>
      </c>
      <c r="AG50" s="6">
        <f t="shared" si="14"/>
        <v>1154</v>
      </c>
      <c r="AH50" s="44"/>
    </row>
    <row r="51" spans="1:34" hidden="1" x14ac:dyDescent="0.25">
      <c r="A51" s="13" t="s">
        <v>55</v>
      </c>
      <c r="B51" s="6">
        <v>-3</v>
      </c>
      <c r="C51" s="6">
        <v>-1</v>
      </c>
      <c r="D51" s="6"/>
      <c r="E51" s="6">
        <v>-2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f t="shared" si="9"/>
        <v>0</v>
      </c>
      <c r="AB51" s="19" t="e">
        <f t="shared" si="10"/>
        <v>#DIV/0!</v>
      </c>
      <c r="AC51" s="20">
        <f t="shared" si="8"/>
        <v>0</v>
      </c>
      <c r="AD51">
        <f t="shared" si="11"/>
        <v>-6</v>
      </c>
      <c r="AE51">
        <f t="shared" si="12"/>
        <v>0</v>
      </c>
      <c r="AF51" s="29">
        <f t="shared" si="13"/>
        <v>-1</v>
      </c>
      <c r="AG51" s="6">
        <f t="shared" si="14"/>
        <v>6</v>
      </c>
      <c r="AH51" s="44"/>
    </row>
    <row r="52" spans="1:34" hidden="1" x14ac:dyDescent="0.25">
      <c r="A52" s="13" t="s">
        <v>32</v>
      </c>
      <c r="B52" s="6">
        <v>-2</v>
      </c>
      <c r="C52" s="6">
        <v>-9</v>
      </c>
      <c r="D52" s="6">
        <v>-2</v>
      </c>
      <c r="E52" s="6">
        <v>-5</v>
      </c>
      <c r="F52" s="6">
        <v>-13</v>
      </c>
      <c r="G52" s="6">
        <v>-9</v>
      </c>
      <c r="H52" s="6">
        <v>-7</v>
      </c>
      <c r="I52" s="6">
        <v>-2</v>
      </c>
      <c r="J52" s="6">
        <v>-10</v>
      </c>
      <c r="K52" s="6">
        <v>-23</v>
      </c>
      <c r="L52" s="6">
        <v>-2</v>
      </c>
      <c r="M52" s="6">
        <v>-3</v>
      </c>
      <c r="N52" s="6">
        <v>-2</v>
      </c>
      <c r="O52" s="6">
        <v>-5</v>
      </c>
      <c r="P52" s="6">
        <v>-4</v>
      </c>
      <c r="Q52" s="6">
        <v>-5</v>
      </c>
      <c r="R52" s="6">
        <v>-7</v>
      </c>
      <c r="S52" s="6">
        <v>-6</v>
      </c>
      <c r="T52" s="6">
        <v>-7</v>
      </c>
      <c r="U52" s="6">
        <v>-5</v>
      </c>
      <c r="V52" s="6">
        <v>-14</v>
      </c>
      <c r="W52" s="6">
        <v>-5</v>
      </c>
      <c r="X52" s="6">
        <v>-3</v>
      </c>
      <c r="Y52" s="6">
        <v>-7</v>
      </c>
      <c r="Z52" s="6"/>
      <c r="AA52" s="6">
        <f t="shared" si="9"/>
        <v>-5.666666666666667</v>
      </c>
      <c r="AB52" s="19">
        <f t="shared" si="10"/>
        <v>0.23529411764705865</v>
      </c>
      <c r="AC52" s="20">
        <f t="shared" si="8"/>
        <v>5.666666666666667</v>
      </c>
      <c r="AD52">
        <f t="shared" si="11"/>
        <v>-84</v>
      </c>
      <c r="AE52">
        <f t="shared" si="12"/>
        <v>-63</v>
      </c>
      <c r="AF52" s="29">
        <f t="shared" si="13"/>
        <v>-0.25</v>
      </c>
      <c r="AG52" s="6">
        <f t="shared" si="14"/>
        <v>21</v>
      </c>
      <c r="AH52" s="44"/>
    </row>
    <row r="53" spans="1:34" x14ac:dyDescent="0.25">
      <c r="A53" s="14" t="s">
        <v>33</v>
      </c>
      <c r="B53" s="15">
        <v>38676</v>
      </c>
      <c r="C53" s="15">
        <v>21661</v>
      </c>
      <c r="D53" s="15">
        <v>19727</v>
      </c>
      <c r="E53" s="15">
        <v>34985</v>
      </c>
      <c r="F53" s="15">
        <v>24939</v>
      </c>
      <c r="G53" s="15">
        <v>26109</v>
      </c>
      <c r="H53" s="15">
        <v>26499</v>
      </c>
      <c r="I53" s="15">
        <v>41064</v>
      </c>
      <c r="J53" s="15">
        <v>26715</v>
      </c>
      <c r="K53" s="15">
        <v>31258</v>
      </c>
      <c r="L53" s="15">
        <v>21885</v>
      </c>
      <c r="M53" s="15">
        <v>30676</v>
      </c>
      <c r="N53" s="10">
        <f t="shared" ref="N53:Z53" si="15">SUM(N31:N52)</f>
        <v>27490</v>
      </c>
      <c r="O53" s="10">
        <f t="shared" si="15"/>
        <v>34907</v>
      </c>
      <c r="P53" s="10">
        <f t="shared" si="15"/>
        <v>32460</v>
      </c>
      <c r="Q53" s="10">
        <f t="shared" si="15"/>
        <v>19560</v>
      </c>
      <c r="R53" s="10">
        <f t="shared" si="15"/>
        <v>30989</v>
      </c>
      <c r="S53" s="10">
        <f t="shared" si="15"/>
        <v>29936</v>
      </c>
      <c r="T53" s="10">
        <f t="shared" si="15"/>
        <v>25296</v>
      </c>
      <c r="U53" s="10">
        <f t="shared" si="15"/>
        <v>24695</v>
      </c>
      <c r="V53" s="10">
        <f t="shared" si="15"/>
        <v>38384</v>
      </c>
      <c r="W53" s="10">
        <f t="shared" si="15"/>
        <v>37632</v>
      </c>
      <c r="X53" s="10">
        <f t="shared" si="15"/>
        <v>23563</v>
      </c>
      <c r="Y53" s="10">
        <f t="shared" si="15"/>
        <v>19141</v>
      </c>
      <c r="Z53" s="10">
        <f t="shared" si="15"/>
        <v>33958</v>
      </c>
      <c r="AA53" s="6">
        <f t="shared" si="9"/>
        <v>29562.166666666668</v>
      </c>
      <c r="AB53" s="19">
        <f t="shared" si="10"/>
        <v>-0.35251701217208931</v>
      </c>
      <c r="AC53" s="20">
        <f t="shared" si="8"/>
        <v>4395.8333333333321</v>
      </c>
      <c r="AD53" s="37">
        <f t="shared" si="11"/>
        <v>313518</v>
      </c>
      <c r="AE53" s="37">
        <f t="shared" si="12"/>
        <v>324912</v>
      </c>
      <c r="AF53" s="38">
        <f t="shared" si="13"/>
        <v>3.6342410962050042E-2</v>
      </c>
      <c r="AG53" s="36">
        <f t="shared" si="14"/>
        <v>11394</v>
      </c>
      <c r="AH53" s="44"/>
    </row>
    <row r="54" spans="1:34" x14ac:dyDescent="0.25">
      <c r="AC54" s="6">
        <f t="shared" ref="AC54" si="16">Y54-AA54</f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0DCF-D324-4444-A7CF-C5ACA5338A40}">
  <dimension ref="A1:AH48"/>
  <sheetViews>
    <sheetView zoomScale="70" zoomScaleNormal="70" workbookViewId="0">
      <selection activeCell="S49" sqref="S49"/>
    </sheetView>
  </sheetViews>
  <sheetFormatPr defaultColWidth="21.85546875" defaultRowHeight="15" outlineLevelCol="1" x14ac:dyDescent="0.25"/>
  <cols>
    <col min="1" max="1" width="36" bestFit="1" customWidth="1"/>
    <col min="2" max="3" width="14.7109375" hidden="1" customWidth="1" outlineLevel="1"/>
    <col min="4" max="4" width="14.28515625" hidden="1" customWidth="1" outlineLevel="1"/>
    <col min="5" max="6" width="14.7109375" hidden="1" customWidth="1" outlineLevel="1"/>
    <col min="7" max="7" width="14" hidden="1" customWidth="1" outlineLevel="1"/>
    <col min="8" max="8" width="14.85546875" hidden="1" customWidth="1" outlineLevel="1"/>
    <col min="9" max="9" width="14.28515625" hidden="1" customWidth="1" outlineLevel="1"/>
    <col min="10" max="10" width="13.5703125" hidden="1" customWidth="1" outlineLevel="1"/>
    <col min="11" max="11" width="14.28515625" hidden="1" customWidth="1" outlineLevel="1"/>
    <col min="12" max="12" width="16" hidden="1" customWidth="1" outlineLevel="1"/>
    <col min="13" max="13" width="14.28515625" hidden="1" customWidth="1" outlineLevel="1"/>
    <col min="14" max="14" width="15.5703125" bestFit="1" customWidth="1" collapsed="1"/>
    <col min="15" max="15" width="14.7109375" bestFit="1" customWidth="1"/>
    <col min="16" max="16" width="16" bestFit="1" customWidth="1"/>
    <col min="17" max="17" width="14" bestFit="1" customWidth="1"/>
    <col min="18" max="18" width="15.5703125" bestFit="1" customWidth="1"/>
    <col min="19" max="19" width="14" bestFit="1" customWidth="1"/>
    <col min="20" max="20" width="15.5703125" bestFit="1" customWidth="1"/>
    <col min="21" max="22" width="14.7109375" bestFit="1" customWidth="1"/>
    <col min="23" max="24" width="16" bestFit="1" customWidth="1"/>
    <col min="25" max="25" width="14.28515625" bestFit="1" customWidth="1"/>
    <col min="26" max="26" width="15.42578125" bestFit="1" customWidth="1"/>
    <col min="27" max="27" width="13.140625" bestFit="1" customWidth="1"/>
    <col min="28" max="28" width="7.7109375" bestFit="1" customWidth="1"/>
    <col min="29" max="29" width="12" bestFit="1" customWidth="1"/>
    <col min="30" max="30" width="15.28515625" bestFit="1" customWidth="1"/>
    <col min="31" max="31" width="15.7109375" bestFit="1" customWidth="1"/>
    <col min="32" max="32" width="9" bestFit="1" customWidth="1"/>
    <col min="33" max="33" width="14.5703125" bestFit="1" customWidth="1"/>
    <col min="34" max="34" width="6.28515625" bestFit="1" customWidth="1"/>
  </cols>
  <sheetData>
    <row r="1" spans="1:34" x14ac:dyDescent="0.25">
      <c r="A1" s="1" t="s">
        <v>60</v>
      </c>
    </row>
    <row r="2" spans="1:34" x14ac:dyDescent="0.25">
      <c r="A2" s="1" t="s">
        <v>1</v>
      </c>
    </row>
    <row r="3" spans="1:34" x14ac:dyDescent="0.25">
      <c r="A3" s="3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  <c r="AD3" s="45" t="s">
        <v>58</v>
      </c>
      <c r="AE3" s="45" t="s">
        <v>38</v>
      </c>
      <c r="AF3" s="45" t="s">
        <v>39</v>
      </c>
      <c r="AG3" s="45" t="s">
        <v>40</v>
      </c>
      <c r="AH3" s="45" t="s">
        <v>59</v>
      </c>
    </row>
    <row r="4" spans="1:34" x14ac:dyDescent="0.25">
      <c r="A4" t="s">
        <v>41</v>
      </c>
      <c r="B4" s="6">
        <v>4283485.6875000326</v>
      </c>
      <c r="C4" s="6">
        <v>1562667.8571428496</v>
      </c>
      <c r="D4" s="6">
        <v>1691398.9464285839</v>
      </c>
      <c r="E4" s="6">
        <v>2670413.6250000028</v>
      </c>
      <c r="F4" s="6">
        <v>1106674.6964285735</v>
      </c>
      <c r="G4" s="6">
        <v>3302000.0714285714</v>
      </c>
      <c r="H4" s="6">
        <v>3110199.6607142366</v>
      </c>
      <c r="I4" s="6">
        <v>1174793.0535714317</v>
      </c>
      <c r="J4" s="6">
        <v>2229881.7678571562</v>
      </c>
      <c r="K4" s="6">
        <v>2595209.9642857099</v>
      </c>
      <c r="L4" s="6">
        <v>1893516.303571454</v>
      </c>
      <c r="M4" s="7">
        <v>268622.07142857142</v>
      </c>
      <c r="N4" s="7">
        <v>2775574.4464285681</v>
      </c>
      <c r="O4" s="7">
        <v>1473494.5357143017</v>
      </c>
      <c r="P4" s="7">
        <v>2268291.5714286002</v>
      </c>
      <c r="Q4" s="6">
        <v>1490897.0357142929</v>
      </c>
      <c r="R4" s="6">
        <v>3078005.0357142696</v>
      </c>
      <c r="S4" s="6">
        <v>1918252.7142857318</v>
      </c>
      <c r="T4" s="6">
        <v>1837479.0714285886</v>
      </c>
      <c r="U4" s="6">
        <v>1932050.4107143008</v>
      </c>
      <c r="V4" s="6">
        <v>2239204.5357143111</v>
      </c>
      <c r="W4" s="6">
        <v>2314408.1964285891</v>
      </c>
      <c r="X4" s="6">
        <v>3358185.2857142468</v>
      </c>
      <c r="Y4" s="6">
        <v>2449922.7678571502</v>
      </c>
      <c r="Z4" s="6">
        <v>516605.64285714307</v>
      </c>
      <c r="AA4" s="6">
        <f>SUM(U4:Z4)/6</f>
        <v>2135062.8065476236</v>
      </c>
      <c r="AB4" s="17">
        <f>Y4/AA4-1</f>
        <v>0.14747105347156131</v>
      </c>
      <c r="AC4" s="20">
        <f>Z4-AA4</f>
        <v>-1618457.1636904804</v>
      </c>
      <c r="AD4" s="6">
        <f>SUM(B4:L4)</f>
        <v>25620241.633928604</v>
      </c>
      <c r="AE4" s="32">
        <f>SUM(N4:X4)</f>
        <v>24685842.839285802</v>
      </c>
      <c r="AF4" s="47">
        <f>AE4/AD4-1</f>
        <v>-3.6471115612172422E-2</v>
      </c>
      <c r="AG4" s="35">
        <f>AE4-AD4</f>
        <v>-934398.79464280233</v>
      </c>
      <c r="AH4" s="46">
        <f>AE4/AE23</f>
        <v>0.2239285830116523</v>
      </c>
    </row>
    <row r="5" spans="1:34" x14ac:dyDescent="0.25">
      <c r="A5" t="s">
        <v>44</v>
      </c>
      <c r="B5" s="6">
        <v>707761.78571428708</v>
      </c>
      <c r="C5" s="6">
        <v>1263557.9196428561</v>
      </c>
      <c r="D5" s="6">
        <v>662204.59821428638</v>
      </c>
      <c r="E5" s="6">
        <v>1216907.2232142822</v>
      </c>
      <c r="F5" s="6">
        <v>726960.58928571607</v>
      </c>
      <c r="G5" s="6">
        <v>429538.08035714482</v>
      </c>
      <c r="H5" s="6">
        <v>1125693.1607142827</v>
      </c>
      <c r="I5" s="6">
        <v>588987.5892857156</v>
      </c>
      <c r="J5" s="6">
        <v>675546.15178571478</v>
      </c>
      <c r="K5" s="6">
        <v>910056.38392856903</v>
      </c>
      <c r="L5" s="6">
        <v>775771.61607142817</v>
      </c>
      <c r="M5" s="7">
        <v>205114.04464285713</v>
      </c>
      <c r="N5" s="7">
        <v>987286.5267857135</v>
      </c>
      <c r="O5" s="7">
        <v>937902.29464285576</v>
      </c>
      <c r="P5" s="7">
        <v>991408.21428571246</v>
      </c>
      <c r="Q5" s="6">
        <v>539091.7410714305</v>
      </c>
      <c r="R5" s="6">
        <v>750715.07142857101</v>
      </c>
      <c r="S5" s="6">
        <v>592257.8660714298</v>
      </c>
      <c r="T5" s="6">
        <v>604390.27678571607</v>
      </c>
      <c r="U5" s="6">
        <v>587902.90178571583</v>
      </c>
      <c r="V5" s="6">
        <v>942488.67857142736</v>
      </c>
      <c r="W5" s="6">
        <v>790089.5714285709</v>
      </c>
      <c r="X5" s="6">
        <v>652442.05357142922</v>
      </c>
      <c r="Y5" s="6">
        <v>463488.78571428749</v>
      </c>
      <c r="Z5" s="6">
        <v>780001.00892857101</v>
      </c>
      <c r="AA5" s="6">
        <f t="shared" ref="AA5:AA23" si="0">SUM(U5:Z5)/6</f>
        <v>702735.50000000035</v>
      </c>
      <c r="AB5" s="17">
        <f t="shared" ref="AB5:AB23" si="1">Y5/AA5-1</f>
        <v>-0.34045058814548679</v>
      </c>
      <c r="AC5" s="20">
        <f t="shared" ref="AC5:AC23" si="2">Z5-AA5</f>
        <v>77265.508928570664</v>
      </c>
      <c r="AD5" s="6">
        <f t="shared" ref="AD5:AD23" si="3">SUM(B5:L5)</f>
        <v>9082985.0982142836</v>
      </c>
      <c r="AE5" s="32">
        <f t="shared" ref="AE5:AE23" si="4">SUM(N5:X5)</f>
        <v>8375975.1964285728</v>
      </c>
      <c r="AF5" s="47">
        <f t="shared" ref="AF5:AF23" si="5">AE5/AD5-1</f>
        <v>-7.7838936664633374E-2</v>
      </c>
      <c r="AG5" s="35">
        <f t="shared" ref="AG5:AG23" si="6">AE5-AD5</f>
        <v>-707009.90178571083</v>
      </c>
      <c r="AH5" s="46">
        <f>AE5/AE23</f>
        <v>7.5979591593772808E-2</v>
      </c>
    </row>
    <row r="6" spans="1:34" x14ac:dyDescent="0.25">
      <c r="A6" t="s">
        <v>10</v>
      </c>
      <c r="B6" s="6">
        <v>1587945.7499999972</v>
      </c>
      <c r="C6" s="6">
        <v>1100269.1874999967</v>
      </c>
      <c r="D6" s="6">
        <v>845115.88392856577</v>
      </c>
      <c r="E6" s="6">
        <v>1525557.0714285632</v>
      </c>
      <c r="F6" s="6">
        <v>1422532.8660714217</v>
      </c>
      <c r="G6" s="6">
        <v>1179253.6071428519</v>
      </c>
      <c r="H6" s="6">
        <v>1229657.4285714268</v>
      </c>
      <c r="I6" s="6">
        <v>1853408.5357142768</v>
      </c>
      <c r="J6" s="6">
        <v>1673352.0357142859</v>
      </c>
      <c r="K6" s="6">
        <v>1750031.508928566</v>
      </c>
      <c r="L6" s="6">
        <v>1654832.1160714251</v>
      </c>
      <c r="M6" s="7">
        <v>704865.16964285704</v>
      </c>
      <c r="N6" s="7">
        <v>2212671.4375000079</v>
      </c>
      <c r="O6" s="7">
        <v>1218071.5178571302</v>
      </c>
      <c r="P6" s="7">
        <v>1211012.5446428573</v>
      </c>
      <c r="Q6" s="6">
        <v>2074119.61607141</v>
      </c>
      <c r="R6" s="6">
        <v>1903366.6517857043</v>
      </c>
      <c r="S6" s="6">
        <v>1129741.3035714291</v>
      </c>
      <c r="T6" s="6">
        <v>3013964.2499999991</v>
      </c>
      <c r="U6" s="6">
        <v>1734334.9553571346</v>
      </c>
      <c r="V6" s="6">
        <v>1934311.7857142717</v>
      </c>
      <c r="W6" s="6">
        <v>2265654.1517857043</v>
      </c>
      <c r="X6" s="6">
        <v>2579925.6607142906</v>
      </c>
      <c r="Y6" s="6">
        <v>2157012.3928571376</v>
      </c>
      <c r="Z6" s="6">
        <v>943944.11607142922</v>
      </c>
      <c r="AA6" s="6">
        <f t="shared" si="0"/>
        <v>1935863.8437499946</v>
      </c>
      <c r="AB6" s="17">
        <f t="shared" si="1"/>
        <v>0.11423765665190189</v>
      </c>
      <c r="AC6" s="20">
        <f t="shared" si="2"/>
        <v>-991919.72767856542</v>
      </c>
      <c r="AD6" s="6">
        <f t="shared" si="3"/>
        <v>15821955.991071375</v>
      </c>
      <c r="AE6" s="32">
        <f t="shared" si="4"/>
        <v>21277173.87499994</v>
      </c>
      <c r="AF6" s="46">
        <f t="shared" si="5"/>
        <v>0.34478783072124886</v>
      </c>
      <c r="AG6" s="34">
        <f t="shared" si="6"/>
        <v>5455217.8839285653</v>
      </c>
      <c r="AH6" s="46">
        <f>AE6/AE23</f>
        <v>0.19300809080493722</v>
      </c>
    </row>
    <row r="7" spans="1:34" x14ac:dyDescent="0.25">
      <c r="A7" t="s">
        <v>47</v>
      </c>
      <c r="B7" s="6">
        <v>843207.14285714156</v>
      </c>
      <c r="C7" s="6">
        <v>982471.42857142736</v>
      </c>
      <c r="D7" s="6">
        <v>754867.85714285716</v>
      </c>
      <c r="E7" s="6">
        <v>1235017.8571428633</v>
      </c>
      <c r="F7" s="6">
        <v>915957.14285714459</v>
      </c>
      <c r="G7" s="6">
        <v>716025.58035714342</v>
      </c>
      <c r="H7" s="6">
        <v>1508350.0000000121</v>
      </c>
      <c r="I7" s="6">
        <v>919421.42857142841</v>
      </c>
      <c r="J7" s="6">
        <v>2616542.8571428787</v>
      </c>
      <c r="K7" s="6">
        <v>2083328.571428569</v>
      </c>
      <c r="L7" s="6">
        <v>1769517.8571428547</v>
      </c>
      <c r="M7" s="7">
        <v>762933.57142857136</v>
      </c>
      <c r="N7" s="7">
        <v>2513989.2857142729</v>
      </c>
      <c r="O7" s="7">
        <v>2442910.7142857183</v>
      </c>
      <c r="P7" s="7">
        <v>3858503.571428536</v>
      </c>
      <c r="Q7" s="6">
        <v>814082.14285714447</v>
      </c>
      <c r="R7" s="6">
        <v>2995264.2857142617</v>
      </c>
      <c r="S7" s="6">
        <v>1994185.7142857159</v>
      </c>
      <c r="T7" s="6">
        <v>2392092.8571428531</v>
      </c>
      <c r="U7" s="6">
        <v>1699575</v>
      </c>
      <c r="V7" s="6">
        <v>2083532.142857142</v>
      </c>
      <c r="W7" s="6">
        <v>2197124.9999999986</v>
      </c>
      <c r="X7" s="6">
        <v>2681721.4285714217</v>
      </c>
      <c r="Y7" s="6">
        <v>2477453.5714285737</v>
      </c>
      <c r="Z7" s="6">
        <v>1190400.42857143</v>
      </c>
      <c r="AA7" s="6">
        <f t="shared" si="0"/>
        <v>2054967.9285714272</v>
      </c>
      <c r="AB7" s="17">
        <f t="shared" si="1"/>
        <v>0.20559232919554615</v>
      </c>
      <c r="AC7" s="20">
        <f t="shared" si="2"/>
        <v>-864567.49999999721</v>
      </c>
      <c r="AD7" s="6">
        <f t="shared" si="3"/>
        <v>14344707.723214321</v>
      </c>
      <c r="AE7" s="32">
        <f t="shared" si="4"/>
        <v>25672982.142857064</v>
      </c>
      <c r="AF7" s="46">
        <f t="shared" si="5"/>
        <v>0.78971803666030604</v>
      </c>
      <c r="AG7" s="34">
        <f t="shared" si="6"/>
        <v>11328274.419642743</v>
      </c>
      <c r="AH7" s="46">
        <f>AE7/AE23</f>
        <v>0.23288305569961895</v>
      </c>
    </row>
    <row r="8" spans="1:34" x14ac:dyDescent="0.25">
      <c r="A8" t="s">
        <v>49</v>
      </c>
      <c r="B8" s="6">
        <v>329880.58928571473</v>
      </c>
      <c r="C8" s="6">
        <v>627552.1875000014</v>
      </c>
      <c r="D8" s="6">
        <v>177524.30357142832</v>
      </c>
      <c r="E8" s="6">
        <v>102994.09821428567</v>
      </c>
      <c r="F8" s="6">
        <v>794739.69642857055</v>
      </c>
      <c r="G8" s="6">
        <v>36066.687499999993</v>
      </c>
      <c r="H8" s="6">
        <v>799983.02678571187</v>
      </c>
      <c r="I8" s="6">
        <v>24269.169642857134</v>
      </c>
      <c r="J8" s="6">
        <v>41047.821428571457</v>
      </c>
      <c r="K8" s="6">
        <v>91833.267857142826</v>
      </c>
      <c r="L8" s="6">
        <v>989342.30357142538</v>
      </c>
      <c r="M8" s="7">
        <v>43893.151785714283</v>
      </c>
      <c r="N8" s="7">
        <v>116102.43749999991</v>
      </c>
      <c r="O8" s="7">
        <v>997132.49999999651</v>
      </c>
      <c r="P8" s="7">
        <v>356996.27678571612</v>
      </c>
      <c r="Q8" s="6">
        <v>63818.866071428638</v>
      </c>
      <c r="R8" s="6">
        <v>-77167.955357142811</v>
      </c>
      <c r="S8" s="6">
        <v>-43145.116071428602</v>
      </c>
      <c r="T8" s="6">
        <v>895861.23214285448</v>
      </c>
      <c r="U8" s="6">
        <v>346958.9732142865</v>
      </c>
      <c r="V8" s="6">
        <v>160446.05357142835</v>
      </c>
      <c r="W8" s="6">
        <v>44343.642857142884</v>
      </c>
      <c r="X8" s="6">
        <v>78799.848214285739</v>
      </c>
      <c r="Y8" s="6">
        <v>62770.232142857203</v>
      </c>
      <c r="Z8" s="6">
        <v>103818.39285714294</v>
      </c>
      <c r="AA8" s="6">
        <f t="shared" si="0"/>
        <v>132856.19047619059</v>
      </c>
      <c r="AB8" s="17">
        <f t="shared" si="1"/>
        <v>-0.52753250023297649</v>
      </c>
      <c r="AC8" s="20">
        <f t="shared" si="2"/>
        <v>-29037.797619047647</v>
      </c>
      <c r="AD8" s="6">
        <f t="shared" si="3"/>
        <v>4015233.1517857094</v>
      </c>
      <c r="AE8" s="32">
        <f t="shared" si="4"/>
        <v>2940146.7589285676</v>
      </c>
      <c r="AF8" s="47">
        <f t="shared" si="5"/>
        <v>-0.26775192179786989</v>
      </c>
      <c r="AG8" s="35">
        <f t="shared" si="6"/>
        <v>-1075086.3928571418</v>
      </c>
      <c r="AH8" s="46">
        <f>AE8/AE23</f>
        <v>2.6670464600277111E-2</v>
      </c>
    </row>
    <row r="9" spans="1:34" x14ac:dyDescent="0.25">
      <c r="A9" t="s">
        <v>13</v>
      </c>
      <c r="B9" s="6">
        <v>896002.37500000559</v>
      </c>
      <c r="C9" s="6">
        <v>560946.96428571455</v>
      </c>
      <c r="D9" s="6">
        <v>509430.651785711</v>
      </c>
      <c r="E9" s="6">
        <v>829594.36607143003</v>
      </c>
      <c r="F9" s="6">
        <v>684723.10714285995</v>
      </c>
      <c r="G9" s="6">
        <v>586570.53571428533</v>
      </c>
      <c r="H9" s="6">
        <v>981855.17857144808</v>
      </c>
      <c r="I9" s="6">
        <v>1415869.6428571402</v>
      </c>
      <c r="J9" s="6">
        <v>1457714.9732142794</v>
      </c>
      <c r="K9" s="6">
        <v>659918.43750000058</v>
      </c>
      <c r="L9" s="6">
        <v>649894.03571428824</v>
      </c>
      <c r="M9" s="7">
        <v>26857.839285714283</v>
      </c>
      <c r="N9" s="7">
        <v>267192.45535714267</v>
      </c>
      <c r="O9" s="7">
        <v>745741.3660714383</v>
      </c>
      <c r="P9" s="7">
        <v>570207.87499999849</v>
      </c>
      <c r="Q9" s="6">
        <v>-9724.625</v>
      </c>
      <c r="R9" s="6">
        <v>799631.83928571502</v>
      </c>
      <c r="S9" s="6">
        <v>389684.74107142852</v>
      </c>
      <c r="T9" s="6">
        <v>1456092.526785712</v>
      </c>
      <c r="U9" s="6">
        <v>503299.75892857008</v>
      </c>
      <c r="V9" s="6">
        <v>707200.55357142992</v>
      </c>
      <c r="W9" s="6">
        <v>949886.45535714831</v>
      </c>
      <c r="X9" s="6">
        <v>1071631.437500004</v>
      </c>
      <c r="Y9" s="6">
        <v>358335.20535714237</v>
      </c>
      <c r="Z9" s="6">
        <v>-2698.6517857142858</v>
      </c>
      <c r="AA9" s="6">
        <f t="shared" si="0"/>
        <v>597942.45982143003</v>
      </c>
      <c r="AB9" s="17">
        <f t="shared" si="1"/>
        <v>-0.40071958518524364</v>
      </c>
      <c r="AC9" s="20">
        <f t="shared" si="2"/>
        <v>-600641.11160714435</v>
      </c>
      <c r="AD9" s="6">
        <f t="shared" si="3"/>
        <v>9232520.2678571604</v>
      </c>
      <c r="AE9" s="32">
        <f t="shared" si="4"/>
        <v>7450844.3839285867</v>
      </c>
      <c r="AF9" s="47">
        <f t="shared" si="5"/>
        <v>-0.19297828027861941</v>
      </c>
      <c r="AG9" s="35">
        <f t="shared" si="6"/>
        <v>-1781675.8839285737</v>
      </c>
      <c r="AH9" s="46">
        <f>AE9/AE23</f>
        <v>6.7587606224172439E-2</v>
      </c>
    </row>
    <row r="10" spans="1:34" x14ac:dyDescent="0.25">
      <c r="A10" t="s">
        <v>50</v>
      </c>
      <c r="B10" s="6">
        <v>4757.4999999999991</v>
      </c>
      <c r="C10" s="6"/>
      <c r="D10" s="6"/>
      <c r="E10" s="6"/>
      <c r="F10" s="6"/>
      <c r="G10" s="6"/>
      <c r="H10" s="6">
        <v>237195.3571428571</v>
      </c>
      <c r="I10" s="6"/>
      <c r="J10" s="6">
        <v>244980.35714285736</v>
      </c>
      <c r="K10" s="6">
        <v>305808.3928571429</v>
      </c>
      <c r="L10" s="6">
        <v>370127.32142857177</v>
      </c>
      <c r="M10" s="7">
        <v>133149.71428571429</v>
      </c>
      <c r="N10" s="7">
        <v>470498.21428571374</v>
      </c>
      <c r="O10" s="7">
        <v>262919.8392857149</v>
      </c>
      <c r="P10" s="7">
        <v>700405.94642857148</v>
      </c>
      <c r="Q10" s="6">
        <v>519058.69642857148</v>
      </c>
      <c r="R10" s="6">
        <v>947462.30357142875</v>
      </c>
      <c r="S10" s="6">
        <v>764032.875</v>
      </c>
      <c r="T10" s="6">
        <v>819530.34821428568</v>
      </c>
      <c r="U10" s="6">
        <v>746566.05357142852</v>
      </c>
      <c r="V10" s="6">
        <v>668706.7857142858</v>
      </c>
      <c r="W10" s="6">
        <v>2641499.9285714286</v>
      </c>
      <c r="X10" s="6">
        <v>1051958.9375</v>
      </c>
      <c r="Y10" s="6">
        <v>365604.6071428571</v>
      </c>
      <c r="Z10" s="6">
        <v>1135581.2678571427</v>
      </c>
      <c r="AA10" s="6">
        <f t="shared" si="0"/>
        <v>1101652.9300595238</v>
      </c>
      <c r="AB10" s="17">
        <f t="shared" si="1"/>
        <v>-0.66813086302679459</v>
      </c>
      <c r="AC10" s="20">
        <f t="shared" si="2"/>
        <v>33928.337797618937</v>
      </c>
      <c r="AD10" s="6">
        <f t="shared" si="3"/>
        <v>1162868.9285714291</v>
      </c>
      <c r="AE10" s="32">
        <f t="shared" si="4"/>
        <v>9592639.9285714272</v>
      </c>
      <c r="AF10" s="46">
        <f t="shared" si="5"/>
        <v>7.2491153498751348</v>
      </c>
      <c r="AG10" s="34">
        <f t="shared" si="6"/>
        <v>8429770.9999999981</v>
      </c>
      <c r="AH10" s="46">
        <f>AE10/AE23</f>
        <v>8.7016120151567164E-2</v>
      </c>
    </row>
    <row r="11" spans="1:34" x14ac:dyDescent="0.25">
      <c r="A11" t="s">
        <v>51</v>
      </c>
      <c r="B11" s="6">
        <v>600359.42857142945</v>
      </c>
      <c r="C11" s="6">
        <v>342025.49999999988</v>
      </c>
      <c r="D11" s="6">
        <v>120947.09821428543</v>
      </c>
      <c r="E11" s="6">
        <v>603018.98214285693</v>
      </c>
      <c r="F11" s="6">
        <v>422166.35714285693</v>
      </c>
      <c r="G11" s="6">
        <v>369237.57142857142</v>
      </c>
      <c r="H11" s="6">
        <v>601909.9642857092</v>
      </c>
      <c r="I11" s="6">
        <v>381762.60714285669</v>
      </c>
      <c r="J11" s="6">
        <v>424086.34821428527</v>
      </c>
      <c r="K11" s="6">
        <v>505887.09821428487</v>
      </c>
      <c r="L11" s="6">
        <v>532775.76785714121</v>
      </c>
      <c r="M11" s="7">
        <v>207191.1428571429</v>
      </c>
      <c r="N11" s="7">
        <v>647264.83928571059</v>
      </c>
      <c r="O11" s="7">
        <v>313370.95535714342</v>
      </c>
      <c r="P11" s="7">
        <v>297680.79464285751</v>
      </c>
      <c r="Q11" s="6">
        <v>535902.59821428475</v>
      </c>
      <c r="R11" s="6">
        <v>951074.06249999115</v>
      </c>
      <c r="S11" s="6">
        <v>461519.88392857159</v>
      </c>
      <c r="T11" s="6">
        <v>652461.02678571211</v>
      </c>
      <c r="U11" s="6">
        <v>452809.0357142858</v>
      </c>
      <c r="V11" s="6">
        <v>387755.35714285704</v>
      </c>
      <c r="W11" s="6">
        <v>554740.45535714168</v>
      </c>
      <c r="X11" s="6">
        <v>585047.83035714156</v>
      </c>
      <c r="Y11" s="6">
        <v>678186.33928571374</v>
      </c>
      <c r="Z11" s="6">
        <v>196459.58928571441</v>
      </c>
      <c r="AA11" s="6">
        <f t="shared" si="0"/>
        <v>475833.10119047575</v>
      </c>
      <c r="AB11" s="17">
        <f t="shared" si="1"/>
        <v>0.42526095302948685</v>
      </c>
      <c r="AC11" s="20">
        <f t="shared" si="2"/>
        <v>-279373.51190476131</v>
      </c>
      <c r="AD11" s="6">
        <f t="shared" si="3"/>
        <v>4904176.7232142771</v>
      </c>
      <c r="AE11" s="32">
        <f t="shared" si="4"/>
        <v>5839626.8392856978</v>
      </c>
      <c r="AF11" s="46">
        <f t="shared" si="5"/>
        <v>0.19074559683858849</v>
      </c>
      <c r="AG11" s="34">
        <f t="shared" si="6"/>
        <v>935450.11607142072</v>
      </c>
      <c r="AH11" s="46">
        <f>AE11/AE23</f>
        <v>5.2972036318606516E-2</v>
      </c>
    </row>
    <row r="12" spans="1:34" x14ac:dyDescent="0.25">
      <c r="A12" t="s">
        <v>52</v>
      </c>
      <c r="B12" s="6"/>
      <c r="C12" s="6">
        <v>-46832.142857142855</v>
      </c>
      <c r="D12" s="6">
        <v>-1328.5714285714284</v>
      </c>
      <c r="E12" s="6"/>
      <c r="F12" s="6"/>
      <c r="G12" s="6"/>
      <c r="H12" s="6">
        <v>2989.2857142857138</v>
      </c>
      <c r="I12" s="6">
        <v>664.28571428571422</v>
      </c>
      <c r="J12" s="6">
        <v>129535.71428571378</v>
      </c>
      <c r="K12" s="6">
        <v>21968.892857142866</v>
      </c>
      <c r="L12" s="6">
        <v>109274.99999999969</v>
      </c>
      <c r="M12" s="7">
        <v>28564.714285714283</v>
      </c>
      <c r="N12" s="7">
        <v>96487.49999999984</v>
      </c>
      <c r="O12" s="7">
        <v>67923.214285714217</v>
      </c>
      <c r="P12" s="7">
        <v>92418.749999999869</v>
      </c>
      <c r="Q12" s="6">
        <v>61031.249999999978</v>
      </c>
      <c r="R12" s="6">
        <v>144149.99999999997</v>
      </c>
      <c r="S12" s="6">
        <v>664.28571428571422</v>
      </c>
      <c r="T12" s="6">
        <v>189487.50000000012</v>
      </c>
      <c r="U12" s="6">
        <v>104458.92857142835</v>
      </c>
      <c r="V12" s="6">
        <v>106202.67857142825</v>
      </c>
      <c r="W12" s="6">
        <v>102466.07142857113</v>
      </c>
      <c r="X12" s="6">
        <v>99559.821428571246</v>
      </c>
      <c r="Y12" s="6">
        <v>54056.249999999985</v>
      </c>
      <c r="Z12" s="6">
        <v>40853.571428571442</v>
      </c>
      <c r="AA12" s="6">
        <f t="shared" si="0"/>
        <v>84599.553571428391</v>
      </c>
      <c r="AB12" s="17">
        <f t="shared" si="1"/>
        <v>-0.36103386226075462</v>
      </c>
      <c r="AC12" s="20">
        <f t="shared" si="2"/>
        <v>-43745.982142856948</v>
      </c>
      <c r="AD12" s="6">
        <f t="shared" si="3"/>
        <v>216272.4642857135</v>
      </c>
      <c r="AE12" s="32">
        <f t="shared" si="4"/>
        <v>1064849.9999999988</v>
      </c>
      <c r="AF12" s="46">
        <f t="shared" si="5"/>
        <v>3.923650375543164</v>
      </c>
      <c r="AG12" s="34">
        <f t="shared" si="6"/>
        <v>848577.53571428533</v>
      </c>
      <c r="AH12" s="46">
        <f>AE12/AE23</f>
        <v>9.6593968118633775E-3</v>
      </c>
    </row>
    <row r="13" spans="1:34" x14ac:dyDescent="0.25">
      <c r="A13" t="s">
        <v>17</v>
      </c>
      <c r="B13" s="6"/>
      <c r="C13" s="6"/>
      <c r="D13" s="6"/>
      <c r="E13" s="6">
        <v>876549.85714285704</v>
      </c>
      <c r="F13" s="6"/>
      <c r="G13" s="6"/>
      <c r="H13" s="6"/>
      <c r="I13" s="6"/>
      <c r="J13" s="6">
        <v>99441.964285714275</v>
      </c>
      <c r="K13" s="6">
        <v>257665.17857142858</v>
      </c>
      <c r="L13" s="6">
        <v>124633.92857142859</v>
      </c>
      <c r="M13" s="7">
        <v>-25192</v>
      </c>
      <c r="N13" s="7">
        <v>13111.607142857141</v>
      </c>
      <c r="O13" s="7">
        <v>15026.785714285717</v>
      </c>
      <c r="P13" s="7">
        <v>-441.96428571428567</v>
      </c>
      <c r="Q13" s="6"/>
      <c r="R13" s="6"/>
      <c r="S13" s="6"/>
      <c r="T13" s="6">
        <v>1767.8571428571427</v>
      </c>
      <c r="U13" s="6">
        <v>441.96428571428567</v>
      </c>
      <c r="V13" s="6">
        <v>-209373.67857142852</v>
      </c>
      <c r="W13" s="6">
        <v>81026.78571428571</v>
      </c>
      <c r="X13" s="6">
        <v>192843.75000000114</v>
      </c>
      <c r="Y13" s="6">
        <v>-19888.392857142837</v>
      </c>
      <c r="Z13" s="6">
        <v>9723.2142857142844</v>
      </c>
      <c r="AA13" s="6">
        <f t="shared" si="0"/>
        <v>9128.9404761906753</v>
      </c>
      <c r="AB13" s="17">
        <f t="shared" si="1"/>
        <v>-3.1786091068305296</v>
      </c>
      <c r="AC13" s="20">
        <f t="shared" si="2"/>
        <v>594.27380952360909</v>
      </c>
      <c r="AD13" s="6">
        <f t="shared" si="3"/>
        <v>1358290.9285714286</v>
      </c>
      <c r="AE13" s="32">
        <f t="shared" si="4"/>
        <v>94403.107142858324</v>
      </c>
      <c r="AF13" s="47">
        <f t="shared" si="5"/>
        <v>-0.93049861030718506</v>
      </c>
      <c r="AG13" s="35">
        <f t="shared" si="6"/>
        <v>-1263887.8214285704</v>
      </c>
      <c r="AH13" s="46">
        <f>AE13/AE23</f>
        <v>8.5634321469288974E-4</v>
      </c>
    </row>
    <row r="14" spans="1:34" x14ac:dyDescent="0.25">
      <c r="A14" t="s">
        <v>18</v>
      </c>
      <c r="B14" s="6"/>
      <c r="C14" s="6"/>
      <c r="D14" s="6"/>
      <c r="E14" s="6"/>
      <c r="F14" s="6"/>
      <c r="G14" s="6">
        <v>965691.9642857142</v>
      </c>
      <c r="H14" s="6">
        <v>727208.03571428556</v>
      </c>
      <c r="I14" s="6"/>
      <c r="J14" s="6">
        <v>1679.4642857142862</v>
      </c>
      <c r="K14" s="6"/>
      <c r="L14" s="6"/>
      <c r="M14" s="7"/>
      <c r="N14" s="7"/>
      <c r="O14" s="7"/>
      <c r="P14" s="7"/>
      <c r="Q14" s="6">
        <v>7071.4285714285706</v>
      </c>
      <c r="R14" s="6"/>
      <c r="S14" s="6"/>
      <c r="T14" s="6"/>
      <c r="U14" s="6"/>
      <c r="V14" s="6">
        <v>5303.5714285714284</v>
      </c>
      <c r="W14" s="6">
        <v>448642.85714285879</v>
      </c>
      <c r="X14" s="6">
        <v>183356.24999999991</v>
      </c>
      <c r="Y14" s="6">
        <v>589374.1071428596</v>
      </c>
      <c r="Z14" s="6">
        <v>76017.85714285713</v>
      </c>
      <c r="AA14" s="6">
        <f t="shared" si="0"/>
        <v>217115.77380952446</v>
      </c>
      <c r="AB14" s="17">
        <f t="shared" si="1"/>
        <v>1.7145614378986447</v>
      </c>
      <c r="AC14" s="20">
        <f t="shared" si="2"/>
        <v>-141097.91666666733</v>
      </c>
      <c r="AD14" s="6">
        <f t="shared" si="3"/>
        <v>1694579.4642857141</v>
      </c>
      <c r="AE14" s="32">
        <f t="shared" si="4"/>
        <v>644374.10714285867</v>
      </c>
      <c r="AF14" s="47">
        <f t="shared" si="5"/>
        <v>-0.61974394194935545</v>
      </c>
      <c r="AG14" s="35">
        <f t="shared" si="6"/>
        <v>-1050205.3571428554</v>
      </c>
      <c r="AH14" s="46">
        <f>AE14/AE23</f>
        <v>5.8452037340311278E-3</v>
      </c>
    </row>
    <row r="15" spans="1:34" x14ac:dyDescent="0.25">
      <c r="A15" t="s">
        <v>53</v>
      </c>
      <c r="B15" s="6">
        <v>-8198.4375</v>
      </c>
      <c r="C15" s="6">
        <v>-1171.2053571428571</v>
      </c>
      <c r="D15" s="6"/>
      <c r="E15" s="6">
        <v>-14775.44642857142</v>
      </c>
      <c r="F15" s="6">
        <v>15225.669642857141</v>
      </c>
      <c r="G15" s="6">
        <v>16582.776785714283</v>
      </c>
      <c r="H15" s="6">
        <v>1438770.3839285735</v>
      </c>
      <c r="I15" s="6">
        <v>-7956.8392857142844</v>
      </c>
      <c r="J15" s="6">
        <v>112305.58035714278</v>
      </c>
      <c r="K15" s="6">
        <v>114666.5624999999</v>
      </c>
      <c r="L15" s="6">
        <v>1586369.758928587</v>
      </c>
      <c r="M15" s="7">
        <v>2342.5892857142858</v>
      </c>
      <c r="N15" s="7">
        <v>1171.2053571428571</v>
      </c>
      <c r="O15" s="7">
        <v>67108.303571428522</v>
      </c>
      <c r="P15" s="7">
        <v>93510.446428571318</v>
      </c>
      <c r="Q15" s="6">
        <v>97990.848214285666</v>
      </c>
      <c r="R15" s="6">
        <v>132429.59821428577</v>
      </c>
      <c r="S15" s="6">
        <v>146084.60714285719</v>
      </c>
      <c r="T15" s="6">
        <v>159841.63392857154</v>
      </c>
      <c r="U15" s="6">
        <v>152647.09821428577</v>
      </c>
      <c r="V15" s="6">
        <v>260267.857142858</v>
      </c>
      <c r="W15" s="6">
        <v>217063.39285714363</v>
      </c>
      <c r="X15" s="6">
        <v>183879.24107142907</v>
      </c>
      <c r="Y15" s="6">
        <v>82635.044642857116</v>
      </c>
      <c r="Z15" s="6">
        <v>213159.78571428644</v>
      </c>
      <c r="AA15" s="6">
        <f t="shared" si="0"/>
        <v>184942.06994047668</v>
      </c>
      <c r="AB15" s="17">
        <f t="shared" si="1"/>
        <v>-0.55318416913224189</v>
      </c>
      <c r="AC15" s="20">
        <f t="shared" si="2"/>
        <v>28217.715773809759</v>
      </c>
      <c r="AD15" s="6">
        <f t="shared" si="3"/>
        <v>3251818.8035714459</v>
      </c>
      <c r="AE15" s="32">
        <f t="shared" si="4"/>
        <v>1511994.2321428594</v>
      </c>
      <c r="AF15" s="47">
        <f t="shared" si="5"/>
        <v>-0.53503121684324828</v>
      </c>
      <c r="AG15" s="35">
        <f t="shared" si="6"/>
        <v>-1739824.5714285865</v>
      </c>
      <c r="AH15" s="46">
        <f>AE15/AE23</f>
        <v>1.3715501963202863E-2</v>
      </c>
    </row>
    <row r="16" spans="1:34" x14ac:dyDescent="0.25">
      <c r="A16" t="s">
        <v>20</v>
      </c>
      <c r="B16" s="6">
        <v>135465.74999999965</v>
      </c>
      <c r="C16" s="6">
        <v>85905.749999999753</v>
      </c>
      <c r="D16" s="6">
        <v>35207.410714285754</v>
      </c>
      <c r="E16" s="6">
        <v>113812.96428571358</v>
      </c>
      <c r="F16" s="6">
        <v>94431.267857142346</v>
      </c>
      <c r="G16" s="6">
        <v>50956.187499999993</v>
      </c>
      <c r="H16" s="6">
        <v>148050.75000000067</v>
      </c>
      <c r="I16" s="6">
        <v>54621.214285714275</v>
      </c>
      <c r="J16" s="6">
        <v>97107.999999999549</v>
      </c>
      <c r="K16" s="6">
        <v>90193.392857142331</v>
      </c>
      <c r="L16" s="6">
        <v>85773.196428570969</v>
      </c>
      <c r="M16" s="7">
        <v>4432.6428571428569</v>
      </c>
      <c r="N16" s="7">
        <v>25747.696428571464</v>
      </c>
      <c r="O16" s="7">
        <v>26763.375000000015</v>
      </c>
      <c r="P16" s="7">
        <v>-18357.482142857149</v>
      </c>
      <c r="Q16" s="6">
        <v>-14973.428571428571</v>
      </c>
      <c r="R16" s="6">
        <v>-19964.571428571428</v>
      </c>
      <c r="S16" s="6">
        <v>74993.839285714348</v>
      </c>
      <c r="T16" s="6">
        <v>259745.57142857104</v>
      </c>
      <c r="U16" s="6">
        <v>30598.92857142866</v>
      </c>
      <c r="V16" s="6">
        <v>107072.89285714237</v>
      </c>
      <c r="W16" s="6">
        <v>278486.25000000052</v>
      </c>
      <c r="X16" s="6">
        <v>81373.446428571318</v>
      </c>
      <c r="Y16" s="6">
        <v>33758.517857142841</v>
      </c>
      <c r="Z16" s="6">
        <v>49079.57142857142</v>
      </c>
      <c r="AA16" s="6">
        <f t="shared" si="0"/>
        <v>96728.267857142841</v>
      </c>
      <c r="AB16" s="17">
        <f t="shared" si="1"/>
        <v>-0.65099635706285452</v>
      </c>
      <c r="AC16" s="20">
        <f t="shared" si="2"/>
        <v>-47648.69642857142</v>
      </c>
      <c r="AD16" s="6">
        <f t="shared" si="3"/>
        <v>991525.88392856903</v>
      </c>
      <c r="AE16" s="32">
        <f t="shared" si="4"/>
        <v>831486.51785714261</v>
      </c>
      <c r="AF16" s="47">
        <f t="shared" si="5"/>
        <v>-0.1614071489866985</v>
      </c>
      <c r="AG16" s="35">
        <f t="shared" si="6"/>
        <v>-160039.36607142643</v>
      </c>
      <c r="AH16" s="46">
        <f>AE16/AE23</f>
        <v>7.5425254446134888E-3</v>
      </c>
    </row>
    <row r="17" spans="1:34" x14ac:dyDescent="0.25">
      <c r="A17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>
        <v>339404.46428571426</v>
      </c>
      <c r="L17" s="6"/>
      <c r="M17" s="6"/>
      <c r="N17" s="7"/>
      <c r="O17" s="7">
        <v>-1374.1071428571427</v>
      </c>
      <c r="P17" s="7"/>
      <c r="Q17" s="7"/>
      <c r="R17" s="7"/>
      <c r="S17" s="7"/>
      <c r="T17" s="6"/>
      <c r="U17" s="6"/>
      <c r="V17" s="6"/>
      <c r="W17" s="6"/>
      <c r="X17" s="6">
        <v>182334.375</v>
      </c>
      <c r="Y17" s="6">
        <v>66192.187499999985</v>
      </c>
      <c r="Z17" s="6">
        <v>7214.0624999999991</v>
      </c>
      <c r="AA17" s="6">
        <f t="shared" si="0"/>
        <v>42623.4375</v>
      </c>
      <c r="AB17" s="17">
        <f t="shared" si="1"/>
        <v>0.55295282085120379</v>
      </c>
      <c r="AC17" s="20">
        <f t="shared" si="2"/>
        <v>-35409.375</v>
      </c>
      <c r="AD17" s="6">
        <f t="shared" si="3"/>
        <v>339404.46428571426</v>
      </c>
      <c r="AE17" s="32">
        <f t="shared" si="4"/>
        <v>180960.26785714287</v>
      </c>
      <c r="AF17" s="47">
        <f t="shared" si="5"/>
        <v>-0.46683003054194183</v>
      </c>
      <c r="AG17" s="35">
        <f t="shared" si="6"/>
        <v>-158444.19642857139</v>
      </c>
      <c r="AH17" s="46">
        <f>AE17/AE23</f>
        <v>1.6415147996555672E-3</v>
      </c>
    </row>
    <row r="18" spans="1:34" hidden="1" x14ac:dyDescent="0.25">
      <c r="A18" t="s">
        <v>25</v>
      </c>
      <c r="B18" s="6"/>
      <c r="C18" s="6"/>
      <c r="D18" s="6"/>
      <c r="E18" s="6">
        <v>-16938.392857142855</v>
      </c>
      <c r="F18" s="6">
        <v>-6829.3124999999991</v>
      </c>
      <c r="G18" s="6">
        <v>-4313.25</v>
      </c>
      <c r="H18" s="6">
        <v>-2156.625</v>
      </c>
      <c r="I18" s="6">
        <v>-1078.3124999999998</v>
      </c>
      <c r="J18" s="6"/>
      <c r="K18" s="6">
        <v>-3594.3749999999995</v>
      </c>
      <c r="L18" s="6">
        <v>-359.43749999999994</v>
      </c>
      <c r="M18" s="6"/>
      <c r="N18" s="7"/>
      <c r="O18" s="7"/>
      <c r="P18" s="7"/>
      <c r="Q18" s="7"/>
      <c r="R18" s="7"/>
      <c r="S18" s="7"/>
      <c r="T18" s="6"/>
      <c r="U18" s="6"/>
      <c r="V18" s="6"/>
      <c r="W18" s="6"/>
      <c r="X18" s="6"/>
      <c r="Y18" s="6"/>
      <c r="Z18" s="6"/>
      <c r="AA18" s="6">
        <f t="shared" si="0"/>
        <v>0</v>
      </c>
      <c r="AB18" s="17" t="e">
        <f t="shared" si="1"/>
        <v>#DIV/0!</v>
      </c>
      <c r="AC18" s="20">
        <f t="shared" si="2"/>
        <v>0</v>
      </c>
      <c r="AD18" s="6">
        <f t="shared" si="3"/>
        <v>-35269.705357142855</v>
      </c>
      <c r="AE18" s="32">
        <f t="shared" si="4"/>
        <v>0</v>
      </c>
      <c r="AF18" s="46">
        <f t="shared" si="5"/>
        <v>-1</v>
      </c>
      <c r="AG18" s="34">
        <f t="shared" si="6"/>
        <v>35269.705357142855</v>
      </c>
      <c r="AH18" s="46">
        <f>AE18/AE23</f>
        <v>0</v>
      </c>
    </row>
    <row r="19" spans="1:34" hidden="1" x14ac:dyDescent="0.25">
      <c r="A19" t="s">
        <v>26</v>
      </c>
      <c r="B19" s="6"/>
      <c r="C19" s="6"/>
      <c r="D19" s="6"/>
      <c r="E19" s="6"/>
      <c r="F19" s="6"/>
      <c r="G19" s="6"/>
      <c r="H19" s="6"/>
      <c r="I19" s="6">
        <v>-813.39285714285711</v>
      </c>
      <c r="J19" s="6">
        <v>-588.25892857142856</v>
      </c>
      <c r="K19" s="6">
        <v>-9354.0178571428569</v>
      </c>
      <c r="L19" s="6">
        <v>-4473.6607142857138</v>
      </c>
      <c r="M19" s="6">
        <v>-203</v>
      </c>
      <c r="N19" s="7">
        <v>-203.34821428571428</v>
      </c>
      <c r="O19" s="7"/>
      <c r="P19" s="7"/>
      <c r="Q19" s="7"/>
      <c r="R19" s="7"/>
      <c r="S19" s="7"/>
      <c r="T19" s="6"/>
      <c r="U19" s="6"/>
      <c r="V19" s="6"/>
      <c r="W19" s="6"/>
      <c r="X19" s="6"/>
      <c r="Y19" s="6"/>
      <c r="Z19" s="6">
        <v>23327.464285714283</v>
      </c>
      <c r="AA19" s="6">
        <f t="shared" si="0"/>
        <v>3887.9107142857138</v>
      </c>
      <c r="AB19" s="17">
        <f t="shared" si="1"/>
        <v>-1</v>
      </c>
      <c r="AC19" s="20">
        <f t="shared" si="2"/>
        <v>19439.553571428569</v>
      </c>
      <c r="AD19" s="6">
        <f t="shared" si="3"/>
        <v>-15229.330357142857</v>
      </c>
      <c r="AE19" s="32">
        <f t="shared" si="4"/>
        <v>-203.34821428571428</v>
      </c>
      <c r="AF19" s="46">
        <f>AE19/AD19-1</f>
        <v>-0.98664759319569562</v>
      </c>
      <c r="AG19" s="34">
        <f t="shared" si="6"/>
        <v>15025.982142857143</v>
      </c>
      <c r="AH19" s="46">
        <f>AE19/AE23</f>
        <v>-1.8445988568996025E-6</v>
      </c>
    </row>
    <row r="20" spans="1:34" hidden="1" x14ac:dyDescent="0.25">
      <c r="A20" t="s">
        <v>28</v>
      </c>
      <c r="B20" s="6">
        <v>121568.91964285713</v>
      </c>
      <c r="C20" s="6">
        <v>19738.124999999996</v>
      </c>
      <c r="D20" s="6">
        <v>90167.383928571435</v>
      </c>
      <c r="E20" s="6">
        <v>146151.9196428571</v>
      </c>
      <c r="F20" s="6">
        <v>32926.812499999993</v>
      </c>
      <c r="G20" s="6">
        <v>47640.705357142855</v>
      </c>
      <c r="H20" s="6">
        <v>59932.142857142855</v>
      </c>
      <c r="I20" s="6">
        <v>717.74999999999989</v>
      </c>
      <c r="J20" s="6">
        <v>11599.607142857141</v>
      </c>
      <c r="K20" s="6">
        <v>9510.1964285714275</v>
      </c>
      <c r="L20" s="6">
        <v>13457.839285714284</v>
      </c>
      <c r="M20" s="6">
        <v>9600.125</v>
      </c>
      <c r="N20" s="7">
        <v>18302.624999999996</v>
      </c>
      <c r="O20" s="7">
        <v>27095.19642857142</v>
      </c>
      <c r="P20" s="7">
        <v>54997.723214285725</v>
      </c>
      <c r="Q20" s="7">
        <v>39296.874999999993</v>
      </c>
      <c r="R20" s="7">
        <v>42167.857142857138</v>
      </c>
      <c r="S20" s="7">
        <v>19917.589285714283</v>
      </c>
      <c r="T20" s="6">
        <v>17764.321428571424</v>
      </c>
      <c r="U20" s="6">
        <v>14893.339285714284</v>
      </c>
      <c r="V20" s="6">
        <v>27095.107142857138</v>
      </c>
      <c r="W20" s="6">
        <v>26018.464285714283</v>
      </c>
      <c r="X20" s="6">
        <v>75363.910714285725</v>
      </c>
      <c r="Y20" s="6">
        <v>7715.8571428571377</v>
      </c>
      <c r="Z20" s="6"/>
      <c r="AA20" s="6">
        <f t="shared" si="0"/>
        <v>25181.113095238092</v>
      </c>
      <c r="AB20" s="17">
        <f t="shared" si="1"/>
        <v>-0.69358554112859072</v>
      </c>
      <c r="AC20" s="20">
        <f t="shared" si="2"/>
        <v>-25181.113095238092</v>
      </c>
      <c r="AD20" s="6">
        <f t="shared" si="3"/>
        <v>553411.40178571432</v>
      </c>
      <c r="AE20" s="32">
        <f t="shared" si="4"/>
        <v>362913.00892857142</v>
      </c>
      <c r="AF20" s="46">
        <f t="shared" si="5"/>
        <v>-0.34422563800177275</v>
      </c>
      <c r="AG20" s="32">
        <f t="shared" si="6"/>
        <v>-190498.3928571429</v>
      </c>
      <c r="AH20" s="46">
        <f>AE20/AE23</f>
        <v>3.2920324566167933E-3</v>
      </c>
    </row>
    <row r="21" spans="1:34" hidden="1" x14ac:dyDescent="0.25">
      <c r="A21" t="s">
        <v>55</v>
      </c>
      <c r="B21" s="6"/>
      <c r="C21" s="6"/>
      <c r="D21" s="6">
        <v>-42800</v>
      </c>
      <c r="E21" s="6">
        <v>-3210</v>
      </c>
      <c r="F21" s="6">
        <v>-6419.9999999999991</v>
      </c>
      <c r="G21" s="6">
        <v>-23540</v>
      </c>
      <c r="H21" s="6">
        <v>-151939.99999999997</v>
      </c>
      <c r="I21" s="6">
        <v>-203299.99999999997</v>
      </c>
      <c r="J21" s="6">
        <v>-11770</v>
      </c>
      <c r="K21" s="6">
        <v>-4416.4821428571431</v>
      </c>
      <c r="L21" s="6"/>
      <c r="M21" s="6"/>
      <c r="N21" s="7">
        <v>-1910.7142857142856</v>
      </c>
      <c r="O21" s="7"/>
      <c r="P21" s="7"/>
      <c r="Q21" s="7"/>
      <c r="R21" s="7"/>
      <c r="S21" s="7"/>
      <c r="T21" s="6"/>
      <c r="U21" s="6"/>
      <c r="V21" s="6"/>
      <c r="W21" s="6"/>
      <c r="X21" s="6"/>
      <c r="Y21" s="6"/>
      <c r="Z21" s="6">
        <v>-6348.5357142857138</v>
      </c>
      <c r="AA21" s="6">
        <f t="shared" si="0"/>
        <v>-1058.0892857142856</v>
      </c>
      <c r="AB21" s="17">
        <f t="shared" si="1"/>
        <v>-1</v>
      </c>
      <c r="AC21" s="20">
        <f t="shared" si="2"/>
        <v>-5290.4464285714284</v>
      </c>
      <c r="AD21" s="6">
        <f t="shared" si="3"/>
        <v>-447396.4821428571</v>
      </c>
      <c r="AE21" s="32">
        <f t="shared" si="4"/>
        <v>-1910.7142857142856</v>
      </c>
      <c r="AF21" s="46">
        <f t="shared" si="5"/>
        <v>-0.99572925947794066</v>
      </c>
      <c r="AG21" s="34">
        <f t="shared" si="6"/>
        <v>445485.76785714284</v>
      </c>
      <c r="AH21" s="46">
        <f>AE21/AE23</f>
        <v>-1.733234491225093E-5</v>
      </c>
    </row>
    <row r="22" spans="1:34" hidden="1" x14ac:dyDescent="0.25">
      <c r="A22" t="s">
        <v>32</v>
      </c>
      <c r="B22" s="6"/>
      <c r="C22" s="6">
        <v>-5085.4285714285706</v>
      </c>
      <c r="D22" s="6">
        <v>-2563.8749999999995</v>
      </c>
      <c r="E22" s="6">
        <v>-9818.4107142857138</v>
      </c>
      <c r="F22" s="6"/>
      <c r="G22" s="6">
        <v>-56555.839285714275</v>
      </c>
      <c r="H22" s="6">
        <v>-4327.4196428571422</v>
      </c>
      <c r="I22" s="6">
        <v>-3513.7946428571422</v>
      </c>
      <c r="J22" s="6">
        <v>-5353.0089285714275</v>
      </c>
      <c r="K22" s="6">
        <v>-32944.991071428565</v>
      </c>
      <c r="L22" s="6">
        <v>-10971.901785714286</v>
      </c>
      <c r="M22" s="6">
        <v>-4781</v>
      </c>
      <c r="N22" s="7">
        <v>-6437.6517857142853</v>
      </c>
      <c r="O22" s="7">
        <v>-38728.053571428572</v>
      </c>
      <c r="P22" s="7">
        <v>-37736.22321428571</v>
      </c>
      <c r="Q22" s="7">
        <v>-67846.767857142855</v>
      </c>
      <c r="R22" s="7">
        <v>-23614.267857142855</v>
      </c>
      <c r="S22" s="7">
        <v>-9075.1071428571431</v>
      </c>
      <c r="T22" s="6">
        <v>-47164.535714285703</v>
      </c>
      <c r="U22" s="6">
        <v>-28050.455357142862</v>
      </c>
      <c r="V22" s="6">
        <v>-10985.633928571426</v>
      </c>
      <c r="W22" s="6">
        <v>-7163.2321428571422</v>
      </c>
      <c r="X22" s="6">
        <v>-7494.3839285714275</v>
      </c>
      <c r="Y22" s="6">
        <v>-37726.053571428565</v>
      </c>
      <c r="Z22" s="6"/>
      <c r="AA22" s="6">
        <f t="shared" si="0"/>
        <v>-15236.626488095237</v>
      </c>
      <c r="AB22" s="17">
        <f t="shared" si="1"/>
        <v>1.4760109201931866</v>
      </c>
      <c r="AC22" s="20">
        <f t="shared" si="2"/>
        <v>15236.626488095237</v>
      </c>
      <c r="AD22" s="6">
        <f t="shared" si="3"/>
        <v>-131134.6696428571</v>
      </c>
      <c r="AE22" s="32">
        <f t="shared" si="4"/>
        <v>-284296.3125</v>
      </c>
      <c r="AF22" s="46">
        <f t="shared" si="5"/>
        <v>1.1679721562137293</v>
      </c>
      <c r="AG22" s="32">
        <f t="shared" si="6"/>
        <v>-153161.6428571429</v>
      </c>
      <c r="AH22" s="46">
        <f>AE22/AE23</f>
        <v>-2.5788898855115911E-3</v>
      </c>
    </row>
    <row r="23" spans="1:34" x14ac:dyDescent="0.25">
      <c r="A23" s="3" t="s">
        <v>33</v>
      </c>
      <c r="B23" s="10">
        <v>9502236.4910714645</v>
      </c>
      <c r="C23" s="10">
        <v>6492046.1428571315</v>
      </c>
      <c r="D23" s="10">
        <v>4840171.6875000037</v>
      </c>
      <c r="E23" s="10">
        <v>9275275.714285709</v>
      </c>
      <c r="F23" s="10">
        <v>6203088.8928571437</v>
      </c>
      <c r="G23" s="10">
        <v>7615154.6785714263</v>
      </c>
      <c r="H23" s="10">
        <v>11813370.330357114</v>
      </c>
      <c r="I23" s="10">
        <v>6197852.9374999916</v>
      </c>
      <c r="J23" s="10">
        <v>9797111.3750000317</v>
      </c>
      <c r="K23" s="10">
        <v>9685172.4464285579</v>
      </c>
      <c r="L23" s="10">
        <v>10539482.044642892</v>
      </c>
      <c r="M23" s="10">
        <v>2367390.7767857132</v>
      </c>
      <c r="N23" s="10">
        <f t="shared" ref="N23:U23" si="7">SUM(N4:N22)</f>
        <v>10136848.562499985</v>
      </c>
      <c r="O23" s="10">
        <f t="shared" si="7"/>
        <v>8555358.437500013</v>
      </c>
      <c r="P23" s="10">
        <f t="shared" si="7"/>
        <v>10438898.044642849</v>
      </c>
      <c r="Q23" s="10">
        <f t="shared" si="7"/>
        <v>6149816.2767857062</v>
      </c>
      <c r="R23" s="10">
        <f t="shared" si="7"/>
        <v>11623519.910714224</v>
      </c>
      <c r="S23" s="10">
        <f t="shared" si="7"/>
        <v>7439115.1964285923</v>
      </c>
      <c r="T23" s="10">
        <f t="shared" si="7"/>
        <v>12253313.937500006</v>
      </c>
      <c r="U23" s="10">
        <f t="shared" si="7"/>
        <v>8278486.8928571502</v>
      </c>
      <c r="V23" s="10">
        <f>SUM(V4:V22)</f>
        <v>9409228.6875000093</v>
      </c>
      <c r="W23" s="10">
        <f>SUM(W4:W22)</f>
        <v>12904287.99107144</v>
      </c>
      <c r="X23" s="10">
        <f>SUM(X4:X22)</f>
        <v>13050928.892857106</v>
      </c>
      <c r="Y23" s="10">
        <f>SUM(Y4:Y22)</f>
        <v>9788891.4196428638</v>
      </c>
      <c r="Z23" s="10">
        <f>SUM(Z4:Z22)</f>
        <v>5277138.7857142901</v>
      </c>
      <c r="AA23" s="6">
        <f t="shared" si="0"/>
        <v>9784827.1116071437</v>
      </c>
      <c r="AB23" s="17">
        <f t="shared" si="1"/>
        <v>4.1536840552858223E-4</v>
      </c>
      <c r="AC23" s="20">
        <f t="shared" si="2"/>
        <v>-4507688.3258928536</v>
      </c>
      <c r="AD23" s="6">
        <f t="shared" si="3"/>
        <v>91960962.741071463</v>
      </c>
      <c r="AE23" s="32">
        <f t="shared" si="4"/>
        <v>110239802.8303571</v>
      </c>
      <c r="AF23" s="46">
        <f t="shared" si="5"/>
        <v>0.19876738503436719</v>
      </c>
      <c r="AG23" s="32">
        <f t="shared" si="6"/>
        <v>18278840.089285642</v>
      </c>
      <c r="AH23" s="46">
        <f>AE23/AE23</f>
        <v>1</v>
      </c>
    </row>
    <row r="24" spans="1:34" x14ac:dyDescent="0.25">
      <c r="AD24" s="39">
        <f>AD23/11</f>
        <v>8360087.5219155876</v>
      </c>
      <c r="AE24" s="39">
        <f>AE23/11</f>
        <v>10021800.257305192</v>
      </c>
    </row>
    <row r="25" spans="1:34" x14ac:dyDescent="0.25">
      <c r="A25" s="1" t="s">
        <v>60</v>
      </c>
    </row>
    <row r="26" spans="1:34" x14ac:dyDescent="0.25">
      <c r="A26" s="1" t="s">
        <v>34</v>
      </c>
    </row>
    <row r="27" spans="1:34" x14ac:dyDescent="0.25">
      <c r="A27" s="3" t="s">
        <v>2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N27" s="3">
        <v>1</v>
      </c>
      <c r="O27" s="3">
        <v>2</v>
      </c>
      <c r="P27" s="3">
        <v>3</v>
      </c>
      <c r="Q27" s="3">
        <v>4</v>
      </c>
      <c r="R27" s="3">
        <v>5</v>
      </c>
      <c r="S27" s="3">
        <v>6</v>
      </c>
      <c r="T27" s="3">
        <v>7</v>
      </c>
      <c r="U27" s="3">
        <v>8</v>
      </c>
      <c r="V27" s="3">
        <v>9</v>
      </c>
      <c r="W27" s="3">
        <v>10</v>
      </c>
      <c r="X27" s="3">
        <v>11</v>
      </c>
      <c r="Y27" s="3">
        <v>12</v>
      </c>
      <c r="Z27" s="3">
        <v>1</v>
      </c>
      <c r="AA27" s="4" t="s">
        <v>3</v>
      </c>
      <c r="AB27" s="4" t="s">
        <v>4</v>
      </c>
      <c r="AC27" s="4" t="s">
        <v>5</v>
      </c>
      <c r="AD27" s="45" t="s">
        <v>58</v>
      </c>
      <c r="AE27" s="45" t="s">
        <v>38</v>
      </c>
      <c r="AF27" s="45" t="s">
        <v>39</v>
      </c>
      <c r="AG27" s="45" t="s">
        <v>40</v>
      </c>
      <c r="AH27" s="45" t="s">
        <v>59</v>
      </c>
    </row>
    <row r="28" spans="1:34" x14ac:dyDescent="0.25">
      <c r="A28" s="13" t="s">
        <v>41</v>
      </c>
      <c r="B28" s="6">
        <v>9027</v>
      </c>
      <c r="C28" s="6">
        <v>3280</v>
      </c>
      <c r="D28" s="6">
        <v>3370</v>
      </c>
      <c r="E28" s="6">
        <v>5313</v>
      </c>
      <c r="F28" s="6">
        <v>2196</v>
      </c>
      <c r="G28" s="6">
        <v>6532</v>
      </c>
      <c r="H28" s="6">
        <v>6156</v>
      </c>
      <c r="I28" s="6">
        <v>2316</v>
      </c>
      <c r="J28" s="6">
        <v>4401</v>
      </c>
      <c r="K28" s="6">
        <v>5096</v>
      </c>
      <c r="L28" s="6">
        <v>3715</v>
      </c>
      <c r="M28" s="6">
        <v>529</v>
      </c>
      <c r="N28" s="6">
        <v>5481</v>
      </c>
      <c r="O28" s="6">
        <v>2893</v>
      </c>
      <c r="P28" s="6">
        <v>4440</v>
      </c>
      <c r="Q28" s="6">
        <v>2926</v>
      </c>
      <c r="R28" s="6">
        <v>6066</v>
      </c>
      <c r="S28" s="6">
        <v>3777</v>
      </c>
      <c r="T28" s="6">
        <v>3589</v>
      </c>
      <c r="U28" s="6">
        <v>3783</v>
      </c>
      <c r="V28" s="6">
        <v>4341</v>
      </c>
      <c r="W28" s="6">
        <v>4525</v>
      </c>
      <c r="X28" s="16">
        <v>6636</v>
      </c>
      <c r="Y28" s="16">
        <v>4789</v>
      </c>
      <c r="Z28" s="16">
        <v>1039</v>
      </c>
      <c r="AA28" s="6">
        <f t="shared" ref="AA28:AA47" si="8">SUM(U28:Z28)/6</f>
        <v>4185.5</v>
      </c>
      <c r="AB28" s="17">
        <f t="shared" ref="AB28:AB47" si="9">Y28/AA28-1</f>
        <v>0.1441882690240115</v>
      </c>
      <c r="AC28" s="20">
        <f t="shared" ref="AC28:AC47" si="10">Z28-AA28</f>
        <v>-3146.5</v>
      </c>
      <c r="AD28" s="6">
        <f>SUM(B28:L28)</f>
        <v>51402</v>
      </c>
      <c r="AE28" s="6">
        <f>SUM(N28:X28)</f>
        <v>48457</v>
      </c>
      <c r="AF28" s="47">
        <f>AE28/AD28-1</f>
        <v>-5.7293490525660462E-2</v>
      </c>
      <c r="AG28" s="21">
        <f>AE28-AD28</f>
        <v>-2945</v>
      </c>
      <c r="AH28" s="46">
        <f>AE28/AE47</f>
        <v>0.27062483245465108</v>
      </c>
    </row>
    <row r="29" spans="1:34" x14ac:dyDescent="0.25">
      <c r="A29" s="13" t="s">
        <v>44</v>
      </c>
      <c r="B29" s="6">
        <v>724</v>
      </c>
      <c r="C29" s="6">
        <v>1287</v>
      </c>
      <c r="D29" s="6">
        <v>675</v>
      </c>
      <c r="E29" s="6">
        <v>1231</v>
      </c>
      <c r="F29" s="6">
        <v>738</v>
      </c>
      <c r="G29" s="6">
        <v>437</v>
      </c>
      <c r="H29" s="6">
        <v>1138</v>
      </c>
      <c r="I29" s="6">
        <v>594</v>
      </c>
      <c r="J29" s="6">
        <v>685</v>
      </c>
      <c r="K29" s="6">
        <v>919</v>
      </c>
      <c r="L29" s="6">
        <v>785</v>
      </c>
      <c r="M29" s="6">
        <v>208</v>
      </c>
      <c r="N29" s="6">
        <v>999</v>
      </c>
      <c r="O29" s="6">
        <v>949</v>
      </c>
      <c r="P29" s="6">
        <v>1000</v>
      </c>
      <c r="Q29" s="6">
        <v>543</v>
      </c>
      <c r="R29" s="6">
        <v>756</v>
      </c>
      <c r="S29" s="6">
        <v>597</v>
      </c>
      <c r="T29" s="6">
        <v>611</v>
      </c>
      <c r="U29" s="6">
        <v>593</v>
      </c>
      <c r="V29" s="6">
        <v>952</v>
      </c>
      <c r="W29" s="6">
        <v>800</v>
      </c>
      <c r="X29" s="16">
        <v>658</v>
      </c>
      <c r="Y29" s="16">
        <v>468</v>
      </c>
      <c r="Z29" s="16">
        <v>799</v>
      </c>
      <c r="AA29" s="6">
        <f t="shared" si="8"/>
        <v>711.66666666666663</v>
      </c>
      <c r="AB29" s="17">
        <f t="shared" si="9"/>
        <v>-0.34238875878220132</v>
      </c>
      <c r="AC29" s="20">
        <f t="shared" si="10"/>
        <v>87.333333333333371</v>
      </c>
      <c r="AD29" s="6">
        <f t="shared" ref="AD29:AD47" si="11">SUM(B29:L29)</f>
        <v>9213</v>
      </c>
      <c r="AE29" s="6">
        <f t="shared" ref="AE29:AE47" si="12">SUM(N29:X29)</f>
        <v>8458</v>
      </c>
      <c r="AF29" s="47">
        <f t="shared" ref="AF29:AF47" si="13">AE29/AD29-1</f>
        <v>-8.1949419298816939E-2</v>
      </c>
      <c r="AG29" s="21">
        <f t="shared" ref="AG29:AG47" si="14">AE29-AD29</f>
        <v>-755</v>
      </c>
      <c r="AH29" s="46">
        <f>AE29/AE47</f>
        <v>4.7236618711464569E-2</v>
      </c>
    </row>
    <row r="30" spans="1:34" x14ac:dyDescent="0.25">
      <c r="A30" s="13" t="s">
        <v>10</v>
      </c>
      <c r="B30" s="6">
        <v>3332</v>
      </c>
      <c r="C30" s="6">
        <v>2301</v>
      </c>
      <c r="D30" s="6">
        <v>1676</v>
      </c>
      <c r="E30" s="6">
        <v>3023</v>
      </c>
      <c r="F30" s="6">
        <v>2813</v>
      </c>
      <c r="G30" s="6">
        <v>2334</v>
      </c>
      <c r="H30" s="6">
        <v>2427</v>
      </c>
      <c r="I30" s="6">
        <v>3649</v>
      </c>
      <c r="J30" s="6">
        <v>3291</v>
      </c>
      <c r="K30" s="6">
        <v>3417</v>
      </c>
      <c r="L30" s="6">
        <v>3228</v>
      </c>
      <c r="M30" s="6">
        <v>1368</v>
      </c>
      <c r="N30" s="6">
        <v>4334</v>
      </c>
      <c r="O30" s="6">
        <v>2341</v>
      </c>
      <c r="P30" s="6">
        <v>2245</v>
      </c>
      <c r="Q30" s="6">
        <v>3855</v>
      </c>
      <c r="R30" s="6">
        <v>3540</v>
      </c>
      <c r="S30" s="6">
        <v>2134</v>
      </c>
      <c r="T30" s="6">
        <v>5596</v>
      </c>
      <c r="U30" s="6">
        <v>3225</v>
      </c>
      <c r="V30" s="6">
        <v>3585</v>
      </c>
      <c r="W30" s="6">
        <v>4224</v>
      </c>
      <c r="X30" s="16">
        <v>4815</v>
      </c>
      <c r="Y30" s="16">
        <v>3987</v>
      </c>
      <c r="Z30" s="16">
        <v>1804</v>
      </c>
      <c r="AA30" s="6">
        <f t="shared" si="8"/>
        <v>3606.6666666666665</v>
      </c>
      <c r="AB30" s="17">
        <f t="shared" si="9"/>
        <v>0.10545286506469509</v>
      </c>
      <c r="AC30" s="20">
        <f t="shared" si="10"/>
        <v>-1802.6666666666665</v>
      </c>
      <c r="AD30" s="6">
        <f t="shared" si="11"/>
        <v>31491</v>
      </c>
      <c r="AE30" s="6">
        <f t="shared" si="12"/>
        <v>39894</v>
      </c>
      <c r="AF30" s="48">
        <f t="shared" si="13"/>
        <v>0.26683814423168517</v>
      </c>
      <c r="AG30" s="25">
        <f t="shared" si="14"/>
        <v>8403</v>
      </c>
      <c r="AH30" s="46">
        <f>AE30/AE47</f>
        <v>0.22280180502189259</v>
      </c>
    </row>
    <row r="31" spans="1:34" x14ac:dyDescent="0.25">
      <c r="A31" s="13" t="s">
        <v>47</v>
      </c>
      <c r="B31" s="6">
        <v>608</v>
      </c>
      <c r="C31" s="6">
        <v>706</v>
      </c>
      <c r="D31" s="6">
        <v>540</v>
      </c>
      <c r="E31" s="6">
        <v>880</v>
      </c>
      <c r="F31" s="6">
        <v>656</v>
      </c>
      <c r="G31" s="6">
        <v>510</v>
      </c>
      <c r="H31" s="6">
        <v>1079</v>
      </c>
      <c r="I31" s="6">
        <v>647</v>
      </c>
      <c r="J31" s="6">
        <v>1860</v>
      </c>
      <c r="K31" s="6">
        <v>1527</v>
      </c>
      <c r="L31" s="6">
        <v>1300</v>
      </c>
      <c r="M31" s="6">
        <v>561</v>
      </c>
      <c r="N31" s="6">
        <v>1850</v>
      </c>
      <c r="O31" s="6">
        <v>1772</v>
      </c>
      <c r="P31" s="6">
        <v>2815</v>
      </c>
      <c r="Q31" s="6">
        <v>595</v>
      </c>
      <c r="R31" s="6">
        <v>2213</v>
      </c>
      <c r="S31" s="6">
        <v>1472</v>
      </c>
      <c r="T31" s="6">
        <v>1744</v>
      </c>
      <c r="U31" s="6">
        <v>1247</v>
      </c>
      <c r="V31" s="6">
        <v>1515</v>
      </c>
      <c r="W31" s="6">
        <v>1613</v>
      </c>
      <c r="X31" s="16">
        <v>1962</v>
      </c>
      <c r="Y31" s="16">
        <v>1818</v>
      </c>
      <c r="Z31" s="16">
        <v>896</v>
      </c>
      <c r="AA31" s="6">
        <f t="shared" si="8"/>
        <v>1508.5</v>
      </c>
      <c r="AB31" s="17">
        <f t="shared" si="9"/>
        <v>0.20517069937023535</v>
      </c>
      <c r="AC31" s="20">
        <f t="shared" si="10"/>
        <v>-612.5</v>
      </c>
      <c r="AD31" s="6">
        <f t="shared" si="11"/>
        <v>10313</v>
      </c>
      <c r="AE31" s="6">
        <f t="shared" si="12"/>
        <v>18798</v>
      </c>
      <c r="AF31" s="48">
        <f t="shared" si="13"/>
        <v>0.82274798797634063</v>
      </c>
      <c r="AG31" s="25">
        <f t="shared" si="14"/>
        <v>8485</v>
      </c>
      <c r="AH31" s="46">
        <f>AE31/AE47</f>
        <v>0.10498391564650165</v>
      </c>
    </row>
    <row r="32" spans="1:34" x14ac:dyDescent="0.25">
      <c r="A32" s="13" t="s">
        <v>49</v>
      </c>
      <c r="B32" s="6">
        <v>244</v>
      </c>
      <c r="C32" s="6">
        <v>462</v>
      </c>
      <c r="D32" s="6">
        <v>131</v>
      </c>
      <c r="E32" s="6">
        <v>77</v>
      </c>
      <c r="F32" s="6">
        <v>583</v>
      </c>
      <c r="G32" s="6">
        <v>26</v>
      </c>
      <c r="H32" s="6">
        <v>587</v>
      </c>
      <c r="I32" s="6">
        <v>17</v>
      </c>
      <c r="J32" s="6">
        <v>30</v>
      </c>
      <c r="K32" s="6">
        <v>67</v>
      </c>
      <c r="L32" s="6">
        <v>726</v>
      </c>
      <c r="M32" s="6">
        <v>32</v>
      </c>
      <c r="N32" s="6">
        <v>84</v>
      </c>
      <c r="O32" s="6">
        <v>728</v>
      </c>
      <c r="P32" s="6">
        <v>258</v>
      </c>
      <c r="Q32" s="6">
        <v>47</v>
      </c>
      <c r="R32" s="6">
        <v>-58</v>
      </c>
      <c r="S32" s="6">
        <v>-33</v>
      </c>
      <c r="T32" s="6">
        <v>654</v>
      </c>
      <c r="U32" s="6">
        <v>253</v>
      </c>
      <c r="V32" s="6">
        <v>117</v>
      </c>
      <c r="W32" s="6">
        <v>32</v>
      </c>
      <c r="X32" s="16">
        <v>57</v>
      </c>
      <c r="Y32" s="16">
        <v>45</v>
      </c>
      <c r="Z32" s="16">
        <v>77</v>
      </c>
      <c r="AA32" s="6">
        <f t="shared" si="8"/>
        <v>96.833333333333329</v>
      </c>
      <c r="AB32" s="17">
        <f t="shared" si="9"/>
        <v>-0.53528399311531838</v>
      </c>
      <c r="AC32" s="20">
        <f t="shared" si="10"/>
        <v>-19.833333333333329</v>
      </c>
      <c r="AD32" s="6">
        <f t="shared" si="11"/>
        <v>2950</v>
      </c>
      <c r="AE32" s="6">
        <f t="shared" si="12"/>
        <v>2139</v>
      </c>
      <c r="AF32" s="47">
        <f t="shared" si="13"/>
        <v>-0.27491525423728813</v>
      </c>
      <c r="AG32" s="21">
        <f t="shared" si="14"/>
        <v>-811</v>
      </c>
      <c r="AH32" s="46">
        <f>AE32/AE47</f>
        <v>1.1945983379501385E-2</v>
      </c>
    </row>
    <row r="33" spans="1:34" x14ac:dyDescent="0.25">
      <c r="A33" s="13" t="s">
        <v>13</v>
      </c>
      <c r="B33" s="6">
        <v>3103</v>
      </c>
      <c r="C33" s="6">
        <v>1920</v>
      </c>
      <c r="D33" s="6">
        <v>1663</v>
      </c>
      <c r="E33" s="6">
        <v>2700</v>
      </c>
      <c r="F33" s="6">
        <v>2240</v>
      </c>
      <c r="G33" s="6">
        <v>1905</v>
      </c>
      <c r="H33" s="6">
        <v>3178</v>
      </c>
      <c r="I33" s="6">
        <v>4548</v>
      </c>
      <c r="J33" s="6">
        <v>4767</v>
      </c>
      <c r="K33" s="6">
        <v>2112</v>
      </c>
      <c r="L33" s="6">
        <v>2078</v>
      </c>
      <c r="M33" s="6">
        <v>70</v>
      </c>
      <c r="N33" s="6">
        <v>846</v>
      </c>
      <c r="O33" s="6">
        <v>2381</v>
      </c>
      <c r="P33" s="6">
        <v>1806</v>
      </c>
      <c r="Q33" s="6">
        <v>-34</v>
      </c>
      <c r="R33" s="6">
        <v>2570</v>
      </c>
      <c r="S33" s="6">
        <v>1253</v>
      </c>
      <c r="T33" s="6">
        <v>4633</v>
      </c>
      <c r="U33" s="6">
        <v>1561</v>
      </c>
      <c r="V33" s="6">
        <v>2230</v>
      </c>
      <c r="W33" s="6">
        <v>3007</v>
      </c>
      <c r="X33" s="16">
        <v>3453</v>
      </c>
      <c r="Y33" s="16">
        <v>1141</v>
      </c>
      <c r="Z33" s="16">
        <v>-9</v>
      </c>
      <c r="AA33" s="6">
        <f t="shared" si="8"/>
        <v>1897.1666666666667</v>
      </c>
      <c r="AB33" s="17">
        <f t="shared" si="9"/>
        <v>-0.39857682509004655</v>
      </c>
      <c r="AC33" s="20">
        <f t="shared" si="10"/>
        <v>-1906.1666666666667</v>
      </c>
      <c r="AD33" s="6">
        <f t="shared" si="11"/>
        <v>30214</v>
      </c>
      <c r="AE33" s="6">
        <f t="shared" si="12"/>
        <v>23706</v>
      </c>
      <c r="AF33" s="47">
        <f t="shared" si="13"/>
        <v>-0.21539683590388559</v>
      </c>
      <c r="AG33" s="21">
        <f t="shared" si="14"/>
        <v>-6508</v>
      </c>
      <c r="AH33" s="46">
        <f>AE33/AE47</f>
        <v>0.13239433473326781</v>
      </c>
    </row>
    <row r="34" spans="1:34" x14ac:dyDescent="0.25">
      <c r="A34" s="13" t="s">
        <v>50</v>
      </c>
      <c r="B34" s="6">
        <v>7</v>
      </c>
      <c r="C34" s="6"/>
      <c r="D34" s="6"/>
      <c r="E34" s="6"/>
      <c r="F34" s="6"/>
      <c r="G34" s="6"/>
      <c r="H34" s="6">
        <v>349</v>
      </c>
      <c r="I34" s="6"/>
      <c r="J34" s="6">
        <v>358</v>
      </c>
      <c r="K34" s="6">
        <v>446</v>
      </c>
      <c r="L34" s="6">
        <v>542</v>
      </c>
      <c r="M34" s="6">
        <v>194</v>
      </c>
      <c r="N34" s="6">
        <v>680</v>
      </c>
      <c r="O34" s="6">
        <v>378</v>
      </c>
      <c r="P34" s="6">
        <v>960</v>
      </c>
      <c r="Q34" s="6">
        <v>713</v>
      </c>
      <c r="R34" s="6">
        <v>1309</v>
      </c>
      <c r="S34" s="6">
        <v>1054</v>
      </c>
      <c r="T34" s="6">
        <v>1122</v>
      </c>
      <c r="U34" s="6">
        <v>1029</v>
      </c>
      <c r="V34" s="6">
        <v>920</v>
      </c>
      <c r="W34" s="6">
        <v>3671</v>
      </c>
      <c r="X34" s="16">
        <v>1459</v>
      </c>
      <c r="Y34" s="16">
        <v>511</v>
      </c>
      <c r="Z34" s="16">
        <v>1591</v>
      </c>
      <c r="AA34" s="6">
        <f t="shared" si="8"/>
        <v>1530.1666666666667</v>
      </c>
      <c r="AB34" s="17">
        <f t="shared" si="9"/>
        <v>-0.66604944995098569</v>
      </c>
      <c r="AC34" s="20">
        <f t="shared" si="10"/>
        <v>60.833333333333258</v>
      </c>
      <c r="AD34" s="6">
        <f t="shared" si="11"/>
        <v>1702</v>
      </c>
      <c r="AE34" s="6">
        <f t="shared" si="12"/>
        <v>13295</v>
      </c>
      <c r="AF34" s="48">
        <f t="shared" si="13"/>
        <v>6.8113983548766157</v>
      </c>
      <c r="AG34" s="25">
        <f t="shared" si="14"/>
        <v>11593</v>
      </c>
      <c r="AH34" s="46">
        <f>AE34/AE47</f>
        <v>7.4250513805736759E-2</v>
      </c>
    </row>
    <row r="35" spans="1:34" x14ac:dyDescent="0.25">
      <c r="A35" s="13" t="s">
        <v>51</v>
      </c>
      <c r="B35" s="6">
        <v>1460</v>
      </c>
      <c r="C35" s="6">
        <v>831</v>
      </c>
      <c r="D35" s="6">
        <v>279</v>
      </c>
      <c r="E35" s="6">
        <v>1386</v>
      </c>
      <c r="F35" s="6">
        <v>963</v>
      </c>
      <c r="G35" s="6">
        <v>842</v>
      </c>
      <c r="H35" s="6">
        <v>1373</v>
      </c>
      <c r="I35" s="6">
        <v>865</v>
      </c>
      <c r="J35" s="6">
        <v>963</v>
      </c>
      <c r="K35" s="6">
        <v>1133</v>
      </c>
      <c r="L35" s="6">
        <v>1205</v>
      </c>
      <c r="M35" s="6">
        <v>459</v>
      </c>
      <c r="N35" s="6">
        <v>1468</v>
      </c>
      <c r="O35" s="6">
        <v>692</v>
      </c>
      <c r="P35" s="6">
        <v>640</v>
      </c>
      <c r="Q35" s="6">
        <v>1144</v>
      </c>
      <c r="R35" s="6">
        <v>2061</v>
      </c>
      <c r="S35" s="6">
        <v>976</v>
      </c>
      <c r="T35" s="6">
        <v>1401</v>
      </c>
      <c r="U35" s="6">
        <v>969</v>
      </c>
      <c r="V35" s="6">
        <v>814</v>
      </c>
      <c r="W35" s="6">
        <v>1171</v>
      </c>
      <c r="X35" s="16">
        <v>1242</v>
      </c>
      <c r="Y35" s="16">
        <v>1457</v>
      </c>
      <c r="Z35" s="16">
        <v>437</v>
      </c>
      <c r="AA35" s="6">
        <f t="shared" si="8"/>
        <v>1015</v>
      </c>
      <c r="AB35" s="17">
        <f t="shared" si="9"/>
        <v>0.43546798029556655</v>
      </c>
      <c r="AC35" s="20">
        <f t="shared" si="10"/>
        <v>-578</v>
      </c>
      <c r="AD35" s="6">
        <f t="shared" si="11"/>
        <v>11300</v>
      </c>
      <c r="AE35" s="6">
        <f t="shared" si="12"/>
        <v>12578</v>
      </c>
      <c r="AF35" s="48">
        <f t="shared" si="13"/>
        <v>0.11309734513274328</v>
      </c>
      <c r="AG35" s="25">
        <f t="shared" si="14"/>
        <v>1278</v>
      </c>
      <c r="AH35" s="46">
        <f>AE35/AE47</f>
        <v>7.0246179966044139E-2</v>
      </c>
    </row>
    <row r="36" spans="1:34" x14ac:dyDescent="0.25">
      <c r="A36" s="13" t="s">
        <v>52</v>
      </c>
      <c r="B36" s="6"/>
      <c r="C36" s="6">
        <v>-141</v>
      </c>
      <c r="D36" s="6">
        <v>-4</v>
      </c>
      <c r="E36" s="6"/>
      <c r="F36" s="6"/>
      <c r="G36" s="6"/>
      <c r="H36" s="6">
        <v>9</v>
      </c>
      <c r="I36" s="6">
        <v>2</v>
      </c>
      <c r="J36" s="6">
        <v>387</v>
      </c>
      <c r="K36" s="6">
        <v>65</v>
      </c>
      <c r="L36" s="6">
        <v>326</v>
      </c>
      <c r="M36" s="6">
        <v>84</v>
      </c>
      <c r="N36" s="6">
        <v>287</v>
      </c>
      <c r="O36" s="6">
        <v>202</v>
      </c>
      <c r="P36" s="6">
        <v>274</v>
      </c>
      <c r="Q36" s="6">
        <v>182</v>
      </c>
      <c r="R36" s="6">
        <v>428</v>
      </c>
      <c r="S36" s="6">
        <v>2</v>
      </c>
      <c r="T36" s="6">
        <v>558</v>
      </c>
      <c r="U36" s="6">
        <v>306</v>
      </c>
      <c r="V36" s="6">
        <v>309</v>
      </c>
      <c r="W36" s="6">
        <v>302</v>
      </c>
      <c r="X36" s="16">
        <v>295</v>
      </c>
      <c r="Y36" s="16">
        <v>156</v>
      </c>
      <c r="Z36" s="16">
        <v>123</v>
      </c>
      <c r="AA36" s="6">
        <f t="shared" si="8"/>
        <v>248.5</v>
      </c>
      <c r="AB36" s="17">
        <f t="shared" si="9"/>
        <v>-0.37223340040241448</v>
      </c>
      <c r="AC36" s="20">
        <f t="shared" si="10"/>
        <v>-125.5</v>
      </c>
      <c r="AD36" s="6">
        <f t="shared" si="11"/>
        <v>644</v>
      </c>
      <c r="AE36" s="6">
        <f t="shared" si="12"/>
        <v>3145</v>
      </c>
      <c r="AF36" s="48">
        <f t="shared" si="13"/>
        <v>3.8835403726708071</v>
      </c>
      <c r="AG36" s="25">
        <f t="shared" si="14"/>
        <v>2501</v>
      </c>
      <c r="AH36" s="46">
        <f>AE36/AE47</f>
        <v>1.7564337413993387E-2</v>
      </c>
    </row>
    <row r="37" spans="1:34" x14ac:dyDescent="0.25">
      <c r="A37" s="13" t="s">
        <v>17</v>
      </c>
      <c r="B37" s="6"/>
      <c r="C37" s="6"/>
      <c r="D37" s="6"/>
      <c r="E37" s="6">
        <v>2088</v>
      </c>
      <c r="F37" s="6"/>
      <c r="G37" s="6"/>
      <c r="H37" s="6"/>
      <c r="I37" s="6"/>
      <c r="J37" s="6">
        <v>215</v>
      </c>
      <c r="K37" s="6">
        <v>553</v>
      </c>
      <c r="L37" s="6">
        <v>272</v>
      </c>
      <c r="M37" s="6">
        <v>-57</v>
      </c>
      <c r="N37" s="6">
        <v>26</v>
      </c>
      <c r="O37" s="6">
        <v>30</v>
      </c>
      <c r="P37" s="6">
        <v>-1</v>
      </c>
      <c r="Q37" s="6"/>
      <c r="R37" s="6"/>
      <c r="S37" s="6"/>
      <c r="T37" s="6">
        <v>4</v>
      </c>
      <c r="U37" s="6">
        <v>1</v>
      </c>
      <c r="V37" s="6">
        <v>-497</v>
      </c>
      <c r="W37" s="6">
        <v>176</v>
      </c>
      <c r="X37" s="16">
        <v>416</v>
      </c>
      <c r="Y37" s="16">
        <v>-45</v>
      </c>
      <c r="Z37" s="16">
        <v>22</v>
      </c>
      <c r="AA37" s="6">
        <f t="shared" si="8"/>
        <v>12.166666666666666</v>
      </c>
      <c r="AB37" s="17">
        <f t="shared" si="9"/>
        <v>-4.6986301369863011</v>
      </c>
      <c r="AC37" s="20">
        <f t="shared" si="10"/>
        <v>9.8333333333333339</v>
      </c>
      <c r="AD37" s="6">
        <f t="shared" si="11"/>
        <v>3128</v>
      </c>
      <c r="AE37" s="6">
        <f t="shared" si="12"/>
        <v>155</v>
      </c>
      <c r="AF37" s="47">
        <f t="shared" si="13"/>
        <v>-0.95044757033248084</v>
      </c>
      <c r="AG37" s="21">
        <f t="shared" si="14"/>
        <v>-2973</v>
      </c>
      <c r="AH37" s="46">
        <f>AE37/AE47</f>
        <v>8.6565096952908585E-4</v>
      </c>
    </row>
    <row r="38" spans="1:34" x14ac:dyDescent="0.25">
      <c r="A38" s="13" t="s">
        <v>18</v>
      </c>
      <c r="B38" s="6"/>
      <c r="C38" s="6"/>
      <c r="D38" s="6"/>
      <c r="E38" s="6"/>
      <c r="F38" s="6"/>
      <c r="G38" s="6">
        <v>575</v>
      </c>
      <c r="H38" s="6">
        <v>433</v>
      </c>
      <c r="I38" s="6"/>
      <c r="J38" s="6">
        <v>1</v>
      </c>
      <c r="K38" s="6"/>
      <c r="L38" s="6"/>
      <c r="M38" s="6"/>
      <c r="N38" s="6"/>
      <c r="O38" s="6"/>
      <c r="P38" s="6"/>
      <c r="Q38" s="6">
        <v>4</v>
      </c>
      <c r="R38" s="6"/>
      <c r="S38" s="6"/>
      <c r="T38" s="6"/>
      <c r="U38" s="6"/>
      <c r="V38" s="6">
        <v>3</v>
      </c>
      <c r="W38" s="6">
        <v>248</v>
      </c>
      <c r="X38" s="16">
        <v>100</v>
      </c>
      <c r="Y38" s="16">
        <v>324</v>
      </c>
      <c r="Z38" s="16">
        <v>43</v>
      </c>
      <c r="AA38" s="6">
        <f t="shared" si="8"/>
        <v>119.66666666666667</v>
      </c>
      <c r="AB38" s="17">
        <f t="shared" si="9"/>
        <v>1.7075208913649025</v>
      </c>
      <c r="AC38" s="20">
        <f t="shared" si="10"/>
        <v>-76.666666666666671</v>
      </c>
      <c r="AD38" s="6">
        <f t="shared" si="11"/>
        <v>1009</v>
      </c>
      <c r="AE38" s="6">
        <f t="shared" si="12"/>
        <v>355</v>
      </c>
      <c r="AF38" s="47">
        <f t="shared" si="13"/>
        <v>-0.64816650148662047</v>
      </c>
      <c r="AG38" s="21">
        <f t="shared" si="14"/>
        <v>-654</v>
      </c>
      <c r="AH38" s="46">
        <f>AE38/AE47</f>
        <v>1.9826199624698418E-3</v>
      </c>
    </row>
    <row r="39" spans="1:34" x14ac:dyDescent="0.25">
      <c r="A39" s="13" t="s">
        <v>53</v>
      </c>
      <c r="B39" s="6">
        <v>-7</v>
      </c>
      <c r="C39" s="6">
        <v>-1</v>
      </c>
      <c r="D39" s="6"/>
      <c r="E39" s="6">
        <v>-16</v>
      </c>
      <c r="F39" s="6">
        <v>13</v>
      </c>
      <c r="G39" s="6">
        <v>14</v>
      </c>
      <c r="H39" s="6">
        <v>1108</v>
      </c>
      <c r="I39" s="6">
        <v>-6</v>
      </c>
      <c r="J39" s="6">
        <v>94</v>
      </c>
      <c r="K39" s="6">
        <v>96</v>
      </c>
      <c r="L39" s="6">
        <v>1337</v>
      </c>
      <c r="M39" s="6">
        <v>2</v>
      </c>
      <c r="N39" s="6">
        <v>1</v>
      </c>
      <c r="O39" s="6">
        <v>51</v>
      </c>
      <c r="P39" s="6">
        <v>78</v>
      </c>
      <c r="Q39" s="6">
        <v>83</v>
      </c>
      <c r="R39" s="6">
        <v>111</v>
      </c>
      <c r="S39" s="6">
        <v>122</v>
      </c>
      <c r="T39" s="6">
        <v>135</v>
      </c>
      <c r="U39" s="6">
        <v>129</v>
      </c>
      <c r="V39" s="6">
        <v>220</v>
      </c>
      <c r="W39" s="6">
        <v>183</v>
      </c>
      <c r="X39" s="16">
        <v>155</v>
      </c>
      <c r="Y39" s="16">
        <v>68</v>
      </c>
      <c r="Z39" s="16">
        <v>182</v>
      </c>
      <c r="AA39" s="6">
        <f t="shared" si="8"/>
        <v>156.16666666666666</v>
      </c>
      <c r="AB39" s="17">
        <f t="shared" si="9"/>
        <v>-0.56456776947705434</v>
      </c>
      <c r="AC39" s="20">
        <f t="shared" si="10"/>
        <v>25.833333333333343</v>
      </c>
      <c r="AD39" s="6">
        <f t="shared" si="11"/>
        <v>2632</v>
      </c>
      <c r="AE39" s="6">
        <f t="shared" si="12"/>
        <v>1268</v>
      </c>
      <c r="AF39" s="47">
        <f t="shared" si="13"/>
        <v>-0.51823708206686936</v>
      </c>
      <c r="AG39" s="21">
        <f t="shared" si="14"/>
        <v>-1364</v>
      </c>
      <c r="AH39" s="46">
        <f>AE39/AE47</f>
        <v>7.0815834152443925E-3</v>
      </c>
    </row>
    <row r="40" spans="1:34" x14ac:dyDescent="0.25">
      <c r="A40" s="13" t="s">
        <v>20</v>
      </c>
      <c r="B40" s="6">
        <v>973</v>
      </c>
      <c r="C40" s="6">
        <v>609</v>
      </c>
      <c r="D40" s="6">
        <v>247</v>
      </c>
      <c r="E40" s="6">
        <v>796</v>
      </c>
      <c r="F40" s="6">
        <v>666</v>
      </c>
      <c r="G40" s="6">
        <v>365</v>
      </c>
      <c r="H40" s="6">
        <v>1036</v>
      </c>
      <c r="I40" s="6">
        <v>376</v>
      </c>
      <c r="J40" s="6">
        <v>676</v>
      </c>
      <c r="K40" s="6">
        <v>620</v>
      </c>
      <c r="L40" s="6">
        <v>587</v>
      </c>
      <c r="M40" s="6">
        <v>14</v>
      </c>
      <c r="N40" s="6">
        <v>124</v>
      </c>
      <c r="O40" s="6">
        <v>133</v>
      </c>
      <c r="P40" s="6">
        <v>-132</v>
      </c>
      <c r="Q40" s="6">
        <v>-108</v>
      </c>
      <c r="R40" s="6">
        <v>-144</v>
      </c>
      <c r="S40" s="6">
        <v>516</v>
      </c>
      <c r="T40" s="6">
        <v>1782</v>
      </c>
      <c r="U40" s="6">
        <v>206</v>
      </c>
      <c r="V40" s="6">
        <v>729</v>
      </c>
      <c r="W40" s="6">
        <v>1967</v>
      </c>
      <c r="X40" s="16">
        <v>571</v>
      </c>
      <c r="Y40" s="16">
        <v>239</v>
      </c>
      <c r="Z40" s="16">
        <v>354</v>
      </c>
      <c r="AA40" s="6">
        <f t="shared" si="8"/>
        <v>677.66666666666663</v>
      </c>
      <c r="AB40" s="17">
        <f t="shared" si="9"/>
        <v>-0.64731923266109193</v>
      </c>
      <c r="AC40" s="20">
        <f t="shared" si="10"/>
        <v>-323.66666666666663</v>
      </c>
      <c r="AD40" s="6">
        <f t="shared" si="11"/>
        <v>6951</v>
      </c>
      <c r="AE40" s="6">
        <f t="shared" si="12"/>
        <v>5644</v>
      </c>
      <c r="AF40" s="47">
        <f t="shared" si="13"/>
        <v>-0.18803049920874693</v>
      </c>
      <c r="AG40" s="21">
        <f t="shared" si="14"/>
        <v>-1307</v>
      </c>
      <c r="AH40" s="46">
        <f>AE40/AE47</f>
        <v>3.1520864980788134E-2</v>
      </c>
    </row>
    <row r="41" spans="1:34" x14ac:dyDescent="0.25">
      <c r="A41" s="13" t="s">
        <v>21</v>
      </c>
      <c r="B41" s="6"/>
      <c r="C41" s="6"/>
      <c r="D41" s="6"/>
      <c r="E41" s="6"/>
      <c r="F41" s="6"/>
      <c r="G41" s="6"/>
      <c r="H41" s="6"/>
      <c r="I41" s="6"/>
      <c r="J41" s="6"/>
      <c r="K41" s="6">
        <v>988</v>
      </c>
      <c r="L41" s="6"/>
      <c r="M41" s="6"/>
      <c r="N41" s="6"/>
      <c r="O41" s="6">
        <v>-4</v>
      </c>
      <c r="P41" s="6"/>
      <c r="Q41" s="6"/>
      <c r="R41" s="6"/>
      <c r="S41" s="6"/>
      <c r="T41" s="6"/>
      <c r="U41" s="6"/>
      <c r="V41" s="6"/>
      <c r="W41" s="6"/>
      <c r="X41" s="16">
        <v>472</v>
      </c>
      <c r="Y41" s="16">
        <v>172</v>
      </c>
      <c r="Z41" s="16">
        <v>19</v>
      </c>
      <c r="AA41" s="6">
        <f t="shared" si="8"/>
        <v>110.5</v>
      </c>
      <c r="AB41" s="17">
        <f t="shared" si="9"/>
        <v>0.5565610859728507</v>
      </c>
      <c r="AC41" s="20">
        <f t="shared" si="10"/>
        <v>-91.5</v>
      </c>
      <c r="AD41" s="6">
        <f t="shared" si="11"/>
        <v>988</v>
      </c>
      <c r="AE41" s="6">
        <f t="shared" si="12"/>
        <v>468</v>
      </c>
      <c r="AF41" s="47">
        <f t="shared" si="13"/>
        <v>-0.52631578947368429</v>
      </c>
      <c r="AG41" s="21">
        <f t="shared" si="14"/>
        <v>-520</v>
      </c>
      <c r="AH41" s="46">
        <f>AE41/AE47</f>
        <v>2.6137074434813691E-3</v>
      </c>
    </row>
    <row r="42" spans="1:34" hidden="1" x14ac:dyDescent="0.25">
      <c r="A42" s="13" t="s">
        <v>25</v>
      </c>
      <c r="B42" s="6"/>
      <c r="C42" s="6"/>
      <c r="D42" s="6"/>
      <c r="E42" s="6">
        <v>-85</v>
      </c>
      <c r="F42" s="6">
        <v>-19</v>
      </c>
      <c r="G42" s="6">
        <v>-12</v>
      </c>
      <c r="H42" s="6">
        <v>-6</v>
      </c>
      <c r="I42" s="6">
        <v>-3</v>
      </c>
      <c r="J42" s="6"/>
      <c r="K42" s="6">
        <v>-10</v>
      </c>
      <c r="L42" s="6">
        <v>-1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6"/>
      <c r="Y42" s="16">
        <v>19</v>
      </c>
      <c r="Z42" s="16">
        <v>65</v>
      </c>
      <c r="AA42" s="6">
        <f t="shared" si="8"/>
        <v>14</v>
      </c>
      <c r="AB42" s="17">
        <f t="shared" si="9"/>
        <v>0.35714285714285721</v>
      </c>
      <c r="AC42" s="20">
        <f t="shared" si="10"/>
        <v>51</v>
      </c>
      <c r="AD42" s="6">
        <f t="shared" si="11"/>
        <v>-136</v>
      </c>
      <c r="AE42" s="6">
        <f t="shared" si="12"/>
        <v>0</v>
      </c>
      <c r="AF42" s="46">
        <f t="shared" si="13"/>
        <v>-1</v>
      </c>
      <c r="AG42" s="6">
        <f t="shared" si="14"/>
        <v>136</v>
      </c>
      <c r="AH42" s="46">
        <f>AE42/AE47</f>
        <v>0</v>
      </c>
    </row>
    <row r="43" spans="1:34" hidden="1" x14ac:dyDescent="0.25">
      <c r="A43" s="13" t="s">
        <v>26</v>
      </c>
      <c r="B43" s="6"/>
      <c r="C43" s="6"/>
      <c r="D43" s="6"/>
      <c r="E43" s="6"/>
      <c r="F43" s="6"/>
      <c r="G43" s="6"/>
      <c r="H43" s="6"/>
      <c r="I43" s="6">
        <v>-4</v>
      </c>
      <c r="J43" s="6">
        <v>-3</v>
      </c>
      <c r="K43" s="6">
        <v>-46</v>
      </c>
      <c r="L43" s="6">
        <v>-22</v>
      </c>
      <c r="M43" s="6">
        <v>-1</v>
      </c>
      <c r="N43" s="6">
        <v>-1</v>
      </c>
      <c r="O43" s="6"/>
      <c r="P43" s="6"/>
      <c r="Q43" s="6"/>
      <c r="R43" s="6"/>
      <c r="S43" s="6"/>
      <c r="T43" s="6"/>
      <c r="U43" s="6"/>
      <c r="V43" s="6"/>
      <c r="W43" s="6"/>
      <c r="X43" s="16"/>
      <c r="Y43" s="16"/>
      <c r="Z43" s="16"/>
      <c r="AA43" s="6">
        <f t="shared" si="8"/>
        <v>0</v>
      </c>
      <c r="AB43" s="17" t="e">
        <f t="shared" si="9"/>
        <v>#DIV/0!</v>
      </c>
      <c r="AC43" s="20">
        <f t="shared" si="10"/>
        <v>0</v>
      </c>
      <c r="AD43" s="6">
        <f t="shared" si="11"/>
        <v>-75</v>
      </c>
      <c r="AE43" s="6">
        <f t="shared" si="12"/>
        <v>-1</v>
      </c>
      <c r="AF43" s="46">
        <f t="shared" si="13"/>
        <v>-0.98666666666666669</v>
      </c>
      <c r="AG43" s="6">
        <f t="shared" si="14"/>
        <v>74</v>
      </c>
      <c r="AH43" s="46">
        <f>AE43/AE47</f>
        <v>-5.5848449647037797E-6</v>
      </c>
    </row>
    <row r="44" spans="1:34" hidden="1" x14ac:dyDescent="0.25">
      <c r="A44" s="13" t="s">
        <v>28</v>
      </c>
      <c r="B44" s="6">
        <v>338</v>
      </c>
      <c r="C44" s="6">
        <v>55</v>
      </c>
      <c r="D44" s="6">
        <v>249</v>
      </c>
      <c r="E44" s="6">
        <v>403</v>
      </c>
      <c r="F44" s="6">
        <v>90</v>
      </c>
      <c r="G44" s="6">
        <v>130</v>
      </c>
      <c r="H44" s="6">
        <v>166</v>
      </c>
      <c r="I44" s="6">
        <v>2</v>
      </c>
      <c r="J44" s="6">
        <v>32</v>
      </c>
      <c r="K44" s="6">
        <v>26</v>
      </c>
      <c r="L44" s="6">
        <v>36</v>
      </c>
      <c r="M44" s="6">
        <v>26</v>
      </c>
      <c r="N44" s="6">
        <v>51</v>
      </c>
      <c r="O44" s="6">
        <v>68</v>
      </c>
      <c r="P44" s="6">
        <v>146</v>
      </c>
      <c r="Q44" s="6">
        <v>106</v>
      </c>
      <c r="R44" s="6">
        <v>115</v>
      </c>
      <c r="S44" s="6">
        <v>54</v>
      </c>
      <c r="T44" s="6">
        <v>49</v>
      </c>
      <c r="U44" s="6">
        <v>40</v>
      </c>
      <c r="V44" s="6">
        <v>73</v>
      </c>
      <c r="W44" s="6">
        <v>71</v>
      </c>
      <c r="X44" s="16">
        <v>201</v>
      </c>
      <c r="Y44" s="16"/>
      <c r="Z44" s="16"/>
      <c r="AA44" s="6">
        <f t="shared" si="8"/>
        <v>64.166666666666671</v>
      </c>
      <c r="AB44" s="17">
        <f t="shared" si="9"/>
        <v>-1</v>
      </c>
      <c r="AC44" s="20">
        <f t="shared" si="10"/>
        <v>-64.166666666666671</v>
      </c>
      <c r="AD44" s="6">
        <f t="shared" si="11"/>
        <v>1527</v>
      </c>
      <c r="AE44" s="6">
        <f t="shared" si="12"/>
        <v>974</v>
      </c>
      <c r="AF44" s="46">
        <f t="shared" si="13"/>
        <v>-0.36214800261951541</v>
      </c>
      <c r="AG44" s="6">
        <f t="shared" si="14"/>
        <v>-553</v>
      </c>
      <c r="AH44" s="46">
        <f>AE44/AE47</f>
        <v>5.4396389956214812E-3</v>
      </c>
    </row>
    <row r="45" spans="1:34" hidden="1" x14ac:dyDescent="0.25">
      <c r="A45" s="13" t="s">
        <v>55</v>
      </c>
      <c r="B45" s="6"/>
      <c r="C45" s="6"/>
      <c r="D45" s="6">
        <v>-40</v>
      </c>
      <c r="E45" s="6">
        <v>-3</v>
      </c>
      <c r="F45" s="6">
        <v>-6</v>
      </c>
      <c r="G45" s="6">
        <v>-22</v>
      </c>
      <c r="H45" s="6">
        <v>-142</v>
      </c>
      <c r="I45" s="6">
        <v>-190</v>
      </c>
      <c r="J45" s="6">
        <v>-11</v>
      </c>
      <c r="K45" s="6">
        <v>-5</v>
      </c>
      <c r="L45" s="6"/>
      <c r="M45" s="6"/>
      <c r="N45" s="6">
        <v>-2</v>
      </c>
      <c r="O45" s="6"/>
      <c r="P45" s="6"/>
      <c r="Q45" s="6"/>
      <c r="R45" s="6"/>
      <c r="S45" s="6"/>
      <c r="T45" s="6"/>
      <c r="U45" s="6"/>
      <c r="V45" s="6"/>
      <c r="W45" s="6"/>
      <c r="X45" s="16"/>
      <c r="Y45" s="16"/>
      <c r="Z45" s="16">
        <v>-14</v>
      </c>
      <c r="AA45" s="6">
        <f t="shared" si="8"/>
        <v>-2.3333333333333335</v>
      </c>
      <c r="AB45" s="17">
        <f t="shared" si="9"/>
        <v>-1</v>
      </c>
      <c r="AC45" s="20">
        <f t="shared" si="10"/>
        <v>-11.666666666666666</v>
      </c>
      <c r="AD45" s="6">
        <f t="shared" si="11"/>
        <v>-419</v>
      </c>
      <c r="AE45" s="6">
        <f t="shared" si="12"/>
        <v>-2</v>
      </c>
      <c r="AF45" s="46">
        <f t="shared" si="13"/>
        <v>-0.99522673031026254</v>
      </c>
      <c r="AG45" s="6">
        <f t="shared" si="14"/>
        <v>417</v>
      </c>
      <c r="AH45" s="46">
        <f>AE45/AE47</f>
        <v>-1.1169689929407559E-5</v>
      </c>
    </row>
    <row r="46" spans="1:34" hidden="1" x14ac:dyDescent="0.25">
      <c r="A46" s="13" t="s">
        <v>32</v>
      </c>
      <c r="B46" s="6"/>
      <c r="C46" s="6">
        <v>-3</v>
      </c>
      <c r="D46" s="6">
        <v>-2</v>
      </c>
      <c r="E46" s="6">
        <v>-16</v>
      </c>
      <c r="F46" s="6"/>
      <c r="G46" s="6">
        <v>-16</v>
      </c>
      <c r="H46" s="6">
        <v>-9</v>
      </c>
      <c r="I46" s="6">
        <v>-7</v>
      </c>
      <c r="J46" s="6">
        <v>-10</v>
      </c>
      <c r="K46" s="6">
        <v>-14</v>
      </c>
      <c r="L46" s="6">
        <v>-13</v>
      </c>
      <c r="M46" s="6">
        <v>-6</v>
      </c>
      <c r="N46" s="6">
        <v>-9</v>
      </c>
      <c r="O46" s="6">
        <v>-67</v>
      </c>
      <c r="P46" s="6">
        <v>-20</v>
      </c>
      <c r="Q46" s="6">
        <v>-6</v>
      </c>
      <c r="R46" s="6">
        <v>-27</v>
      </c>
      <c r="S46" s="6">
        <v>-11</v>
      </c>
      <c r="T46" s="6">
        <v>-32</v>
      </c>
      <c r="U46" s="6">
        <v>-53</v>
      </c>
      <c r="V46" s="6">
        <v>-21</v>
      </c>
      <c r="W46" s="6">
        <v>-17</v>
      </c>
      <c r="X46" s="16">
        <v>-12</v>
      </c>
      <c r="Y46" s="16">
        <v>-55</v>
      </c>
      <c r="Z46" s="16"/>
      <c r="AA46" s="6">
        <f t="shared" si="8"/>
        <v>-26.333333333333332</v>
      </c>
      <c r="AB46" s="17">
        <f t="shared" si="9"/>
        <v>1.0886075949367089</v>
      </c>
      <c r="AC46" s="20">
        <f t="shared" si="10"/>
        <v>26.333333333333332</v>
      </c>
      <c r="AD46" s="6">
        <f t="shared" si="11"/>
        <v>-90</v>
      </c>
      <c r="AE46" s="6">
        <f t="shared" si="12"/>
        <v>-275</v>
      </c>
      <c r="AF46" s="46">
        <f t="shared" si="13"/>
        <v>2.0555555555555554</v>
      </c>
      <c r="AG46" s="6">
        <f t="shared" si="14"/>
        <v>-185</v>
      </c>
      <c r="AH46" s="46">
        <f>AE46/AE47</f>
        <v>-1.5358323652935396E-3</v>
      </c>
    </row>
    <row r="47" spans="1:34" x14ac:dyDescent="0.25">
      <c r="A47" s="14" t="s">
        <v>33</v>
      </c>
      <c r="B47" s="15">
        <v>19809</v>
      </c>
      <c r="C47" s="15">
        <v>11306</v>
      </c>
      <c r="D47" s="15">
        <v>8784</v>
      </c>
      <c r="E47" s="15">
        <v>17777</v>
      </c>
      <c r="F47" s="15">
        <v>10933</v>
      </c>
      <c r="G47" s="15">
        <v>13620</v>
      </c>
      <c r="H47" s="15">
        <v>18882</v>
      </c>
      <c r="I47" s="15">
        <v>12806</v>
      </c>
      <c r="J47" s="15">
        <v>17736</v>
      </c>
      <c r="K47" s="15">
        <v>16990</v>
      </c>
      <c r="L47" s="15">
        <v>16101</v>
      </c>
      <c r="M47" s="15">
        <v>3483</v>
      </c>
      <c r="N47" s="10">
        <f t="shared" ref="N47:Z47" si="15">SUM(N28:N46)</f>
        <v>16219</v>
      </c>
      <c r="O47" s="10">
        <f t="shared" si="15"/>
        <v>12547</v>
      </c>
      <c r="P47" s="10">
        <f t="shared" si="15"/>
        <v>14509</v>
      </c>
      <c r="Q47" s="10">
        <f t="shared" si="15"/>
        <v>10050</v>
      </c>
      <c r="R47" s="10">
        <f t="shared" si="15"/>
        <v>18940</v>
      </c>
      <c r="S47" s="10">
        <f t="shared" si="15"/>
        <v>11913</v>
      </c>
      <c r="T47" s="10">
        <f t="shared" si="15"/>
        <v>21846</v>
      </c>
      <c r="U47" s="10">
        <f t="shared" si="15"/>
        <v>13289</v>
      </c>
      <c r="V47" s="10">
        <f t="shared" si="15"/>
        <v>15290</v>
      </c>
      <c r="W47" s="10">
        <f t="shared" si="15"/>
        <v>21973</v>
      </c>
      <c r="X47" s="10">
        <f t="shared" si="15"/>
        <v>22480</v>
      </c>
      <c r="Y47" s="10">
        <f t="shared" si="15"/>
        <v>15094</v>
      </c>
      <c r="Z47" s="10">
        <f t="shared" si="15"/>
        <v>7428</v>
      </c>
      <c r="AA47" s="6">
        <f t="shared" si="8"/>
        <v>15925.666666666666</v>
      </c>
      <c r="AB47" s="17">
        <f t="shared" si="9"/>
        <v>-5.2221780354563929E-2</v>
      </c>
      <c r="AC47" s="20">
        <f t="shared" si="10"/>
        <v>-8497.6666666666661</v>
      </c>
      <c r="AD47" s="6">
        <f t="shared" si="11"/>
        <v>164744</v>
      </c>
      <c r="AE47" s="6">
        <f t="shared" si="12"/>
        <v>179056</v>
      </c>
      <c r="AF47" s="46">
        <f t="shared" si="13"/>
        <v>8.6874180546787638E-2</v>
      </c>
      <c r="AG47" s="6">
        <f t="shared" si="14"/>
        <v>14312</v>
      </c>
      <c r="AH47" s="46">
        <f>AE47/AE47</f>
        <v>1</v>
      </c>
    </row>
    <row r="48" spans="1:34" x14ac:dyDescent="0.25">
      <c r="AC48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5503-33A1-4A3C-B83B-F83898373B3C}">
  <dimension ref="A1:AC45"/>
  <sheetViews>
    <sheetView topLeftCell="A13" zoomScale="55" zoomScaleNormal="55" workbookViewId="0">
      <selection activeCell="Z38" sqref="Z38"/>
    </sheetView>
  </sheetViews>
  <sheetFormatPr defaultRowHeight="15" outlineLevelCol="1" x14ac:dyDescent="0.25"/>
  <cols>
    <col min="1" max="1" width="34" bestFit="1" customWidth="1"/>
    <col min="2" max="2" width="14.85546875" hidden="1" customWidth="1" outlineLevel="1"/>
    <col min="3" max="3" width="14.28515625" hidden="1" customWidth="1" outlineLevel="1"/>
    <col min="4" max="4" width="13.42578125" hidden="1" customWidth="1" outlineLevel="1"/>
    <col min="5" max="5" width="14" hidden="1" customWidth="1" outlineLevel="1"/>
    <col min="6" max="6" width="14.85546875" hidden="1" customWidth="1" outlineLevel="1"/>
    <col min="7" max="7" width="14.28515625" hidden="1" customWidth="1" outlineLevel="1"/>
    <col min="8" max="9" width="14" hidden="1" customWidth="1" outlineLevel="1"/>
    <col min="10" max="10" width="15.5703125" hidden="1" customWidth="1" outlineLevel="1"/>
    <col min="11" max="11" width="15.140625" hidden="1" customWidth="1" outlineLevel="1"/>
    <col min="12" max="12" width="12.85546875" hidden="1" customWidth="1" outlineLevel="1"/>
    <col min="13" max="13" width="13.140625" hidden="1" customWidth="1" outlineLevel="1"/>
    <col min="14" max="14" width="15.5703125" bestFit="1" customWidth="1" collapsed="1"/>
    <col min="15" max="15" width="12.85546875" bestFit="1" customWidth="1"/>
    <col min="16" max="16" width="14.85546875" bestFit="1" customWidth="1"/>
    <col min="17" max="17" width="14.28515625" bestFit="1" customWidth="1"/>
    <col min="18" max="18" width="11.7109375" bestFit="1" customWidth="1"/>
    <col min="19" max="19" width="14" bestFit="1" customWidth="1"/>
    <col min="20" max="20" width="15.140625" bestFit="1" customWidth="1"/>
    <col min="21" max="21" width="14.28515625" bestFit="1" customWidth="1"/>
    <col min="22" max="22" width="14.85546875" bestFit="1" customWidth="1"/>
    <col min="23" max="23" width="15.140625" bestFit="1" customWidth="1"/>
    <col min="24" max="24" width="14.5703125" bestFit="1" customWidth="1"/>
    <col min="25" max="25" width="13.140625" bestFit="1" customWidth="1"/>
    <col min="26" max="26" width="14.28515625" bestFit="1" customWidth="1"/>
    <col min="27" max="27" width="11.28515625" bestFit="1" customWidth="1"/>
    <col min="28" max="28" width="8.7109375" bestFit="1" customWidth="1"/>
    <col min="29" max="29" width="10.42578125" bestFit="1" customWidth="1"/>
  </cols>
  <sheetData>
    <row r="1" spans="1:29" x14ac:dyDescent="0.25">
      <c r="A1" s="1" t="s">
        <v>61</v>
      </c>
    </row>
    <row r="2" spans="1:29" x14ac:dyDescent="0.25">
      <c r="A2" s="1" t="s">
        <v>1</v>
      </c>
    </row>
    <row r="3" spans="1:29" x14ac:dyDescent="0.25">
      <c r="A3" s="3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</row>
    <row r="4" spans="1:29" x14ac:dyDescent="0.25">
      <c r="A4" t="s">
        <v>41</v>
      </c>
      <c r="B4" s="6">
        <v>92161.607142857145</v>
      </c>
      <c r="C4" s="6">
        <v>804878.03571428568</v>
      </c>
      <c r="D4" s="6">
        <v>46080.803571428565</v>
      </c>
      <c r="E4" s="6">
        <v>222573.05357142852</v>
      </c>
      <c r="F4" s="6">
        <v>777930.45535714307</v>
      </c>
      <c r="G4" s="6">
        <v>225261.13392857142</v>
      </c>
      <c r="H4" s="6">
        <v>813413.11607142864</v>
      </c>
      <c r="I4" s="6">
        <v>359127.53571428562</v>
      </c>
      <c r="J4" s="6">
        <v>501058.1785714287</v>
      </c>
      <c r="K4" s="6">
        <v>494069.16964285733</v>
      </c>
      <c r="L4" s="6">
        <v>1612.8482142857142</v>
      </c>
      <c r="M4" s="7">
        <v>-20967</v>
      </c>
      <c r="N4" s="7">
        <v>584926.28571428568</v>
      </c>
      <c r="O4" s="7">
        <v>196229.86607142855</v>
      </c>
      <c r="P4" s="7">
        <v>470414.06249999994</v>
      </c>
      <c r="Q4" s="6">
        <v>223110.6696428571</v>
      </c>
      <c r="R4" s="6">
        <v>443533.25892857136</v>
      </c>
      <c r="S4" s="6">
        <v>99458.973214285637</v>
      </c>
      <c r="T4" s="6">
        <v>321494.4107142858</v>
      </c>
      <c r="U4" s="6">
        <v>369879.85714285722</v>
      </c>
      <c r="V4" s="6">
        <v>565572.10714285728</v>
      </c>
      <c r="W4" s="6">
        <v>581162.97321428568</v>
      </c>
      <c r="X4" s="6">
        <v>307004.38392857148</v>
      </c>
      <c r="Y4" s="6">
        <v>93007.580357142855</v>
      </c>
      <c r="Z4" s="6">
        <v>347837.09821428574</v>
      </c>
      <c r="AA4" s="6">
        <f>SUM(U4:Z4)/6</f>
        <v>377410.66666666674</v>
      </c>
      <c r="AB4" s="17">
        <f>Y4/AA4-1</f>
        <v>-0.75356398593978224</v>
      </c>
      <c r="AC4" s="20">
        <f>Z4-AA4</f>
        <v>-29573.568452381005</v>
      </c>
    </row>
    <row r="5" spans="1:29" x14ac:dyDescent="0.25">
      <c r="A5" t="s">
        <v>44</v>
      </c>
      <c r="B5" s="6">
        <v>365236.71428571444</v>
      </c>
      <c r="C5" s="6">
        <v>120091.41964285713</v>
      </c>
      <c r="D5" s="6">
        <v>248122.76785714281</v>
      </c>
      <c r="E5" s="6">
        <v>236212.87499999994</v>
      </c>
      <c r="F5" s="6">
        <v>364244.22321428568</v>
      </c>
      <c r="G5" s="6">
        <v>195520.74107142852</v>
      </c>
      <c r="H5" s="6">
        <v>65504.41071428571</v>
      </c>
      <c r="I5" s="6">
        <v>344394.40178571432</v>
      </c>
      <c r="J5" s="6">
        <v>308664.72321428591</v>
      </c>
      <c r="K5" s="6">
        <v>386079.02678571432</v>
      </c>
      <c r="L5" s="6">
        <v>8932.4196428571413</v>
      </c>
      <c r="M5" s="7">
        <v>-3970</v>
      </c>
      <c r="N5" s="7">
        <v>110166.50892857138</v>
      </c>
      <c r="O5" s="7">
        <v>312634.68750000017</v>
      </c>
      <c r="P5" s="7">
        <v>506170.44642857136</v>
      </c>
      <c r="Q5" s="6">
        <v>368382.32142857142</v>
      </c>
      <c r="R5" s="6">
        <v>111158.99999999993</v>
      </c>
      <c r="S5" s="6">
        <v>216363.05357142858</v>
      </c>
      <c r="T5" s="6">
        <v>327522.05357142858</v>
      </c>
      <c r="U5" s="6">
        <v>229265.43750000009</v>
      </c>
      <c r="V5" s="6">
        <v>444636.00000000029</v>
      </c>
      <c r="W5" s="6">
        <v>491426.35714285733</v>
      </c>
      <c r="X5" s="6">
        <v>264002.62499999994</v>
      </c>
      <c r="Y5" s="6">
        <v>128031.34821428567</v>
      </c>
      <c r="Z5" s="6">
        <v>316603.2678571429</v>
      </c>
      <c r="AA5" s="6">
        <f t="shared" ref="AA5:AA22" si="0">SUM(U5:Z5)/6</f>
        <v>312327.50595238106</v>
      </c>
      <c r="AB5" s="17">
        <f t="shared" ref="AB5:AB22" si="1">Y5/AA5-1</f>
        <v>-0.59007341404696545</v>
      </c>
      <c r="AC5" s="20">
        <f t="shared" ref="AC5:AC22" si="2">Z5-AA5</f>
        <v>4275.7619047618355</v>
      </c>
    </row>
    <row r="6" spans="1:29" x14ac:dyDescent="0.25">
      <c r="A6" t="s">
        <v>10</v>
      </c>
      <c r="B6" s="6">
        <v>230596.67857142846</v>
      </c>
      <c r="C6" s="6">
        <v>116828.86607142857</v>
      </c>
      <c r="D6" s="6">
        <v>95523.214285714304</v>
      </c>
      <c r="E6" s="6">
        <v>131499.99999999991</v>
      </c>
      <c r="F6" s="6">
        <v>179701.33928571426</v>
      </c>
      <c r="G6" s="6">
        <v>192906.24999999994</v>
      </c>
      <c r="H6" s="6">
        <v>52072.58928571429</v>
      </c>
      <c r="I6" s="6">
        <v>80887.464285714261</v>
      </c>
      <c r="J6" s="6">
        <v>459076.53571428586</v>
      </c>
      <c r="K6" s="6">
        <v>147515.00892857142</v>
      </c>
      <c r="L6" s="6">
        <v>-3214.0714285714289</v>
      </c>
      <c r="M6" s="7">
        <v>-8163.1696428571431</v>
      </c>
      <c r="N6" s="7">
        <v>349138.58035714302</v>
      </c>
      <c r="O6" s="7">
        <v>-3826.267857142856</v>
      </c>
      <c r="P6" s="7">
        <v>-10046.508928571428</v>
      </c>
      <c r="Q6" s="6">
        <v>105720.39285714284</v>
      </c>
      <c r="R6" s="6">
        <v>-5611.8660714285697</v>
      </c>
      <c r="S6" s="6">
        <v>58103.482142857079</v>
      </c>
      <c r="T6" s="6">
        <v>309917.82142857148</v>
      </c>
      <c r="U6" s="6">
        <v>141313.6696428571</v>
      </c>
      <c r="V6" s="6">
        <v>225245.91071428568</v>
      </c>
      <c r="W6" s="6">
        <v>363133.84821428562</v>
      </c>
      <c r="X6" s="6">
        <v>156587.02678571432</v>
      </c>
      <c r="Y6" s="6">
        <v>1124.9285714285713</v>
      </c>
      <c r="Z6" s="6">
        <v>233984.07142857145</v>
      </c>
      <c r="AA6" s="6">
        <f t="shared" si="0"/>
        <v>186898.24255952379</v>
      </c>
      <c r="AB6" s="17">
        <f t="shared" si="1"/>
        <v>-0.99398106394141028</v>
      </c>
      <c r="AC6" s="20">
        <f t="shared" si="2"/>
        <v>47085.828869047662</v>
      </c>
    </row>
    <row r="7" spans="1:29" x14ac:dyDescent="0.25">
      <c r="A7" t="s">
        <v>47</v>
      </c>
      <c r="B7" s="6">
        <v>222926.78571428583</v>
      </c>
      <c r="C7" s="6">
        <v>59239.285714285717</v>
      </c>
      <c r="D7" s="6">
        <v>344523.21428571455</v>
      </c>
      <c r="E7" s="6">
        <v>431823.21428571455</v>
      </c>
      <c r="F7" s="6">
        <v>176158.92857142855</v>
      </c>
      <c r="G7" s="6">
        <v>174600.00000000006</v>
      </c>
      <c r="H7" s="6">
        <v>584598.2142857142</v>
      </c>
      <c r="I7" s="6">
        <v>500416.07142857142</v>
      </c>
      <c r="J7" s="6">
        <v>464705.35714285693</v>
      </c>
      <c r="K7" s="6">
        <v>923689.28571428533</v>
      </c>
      <c r="L7" s="6">
        <v>16441.071428571428</v>
      </c>
      <c r="M7" s="7">
        <v>-26904</v>
      </c>
      <c r="N7" s="7">
        <v>757783.92857142852</v>
      </c>
      <c r="O7" s="7">
        <v>212239.28571428571</v>
      </c>
      <c r="P7" s="7">
        <v>901269.64285714296</v>
      </c>
      <c r="Q7" s="6">
        <v>505189.28571428562</v>
      </c>
      <c r="R7" s="6">
        <v>228680.3571428571</v>
      </c>
      <c r="S7" s="6">
        <v>538071.42857142852</v>
      </c>
      <c r="T7" s="6">
        <v>496221.42857142858</v>
      </c>
      <c r="U7" s="6">
        <v>541060.71428571432</v>
      </c>
      <c r="V7" s="6">
        <v>893796.42857142817</v>
      </c>
      <c r="W7" s="6">
        <v>958066.07142857113</v>
      </c>
      <c r="X7" s="6">
        <v>711449.99999999953</v>
      </c>
      <c r="Y7" s="6">
        <v>174873.21428571429</v>
      </c>
      <c r="Z7" s="6">
        <v>920573.49999999977</v>
      </c>
      <c r="AA7" s="6">
        <f t="shared" si="0"/>
        <v>699969.98809523787</v>
      </c>
      <c r="AB7" s="17">
        <f t="shared" si="1"/>
        <v>-0.75017041121780059</v>
      </c>
      <c r="AC7" s="20">
        <f t="shared" si="2"/>
        <v>220603.51190476189</v>
      </c>
    </row>
    <row r="8" spans="1:29" x14ac:dyDescent="0.25">
      <c r="A8" t="s">
        <v>49</v>
      </c>
      <c r="B8" s="6">
        <v>158139.07142857148</v>
      </c>
      <c r="C8" s="6">
        <v>109061.42857142852</v>
      </c>
      <c r="D8" s="6">
        <v>74979.732142857116</v>
      </c>
      <c r="E8" s="6">
        <v>141772.36607142852</v>
      </c>
      <c r="F8" s="6">
        <v>98147.794642857101</v>
      </c>
      <c r="G8" s="6">
        <v>124057.37499999993</v>
      </c>
      <c r="H8" s="6">
        <v>155412.53571428574</v>
      </c>
      <c r="I8" s="6">
        <v>66800.124999999971</v>
      </c>
      <c r="J8" s="6">
        <v>89975.678571428522</v>
      </c>
      <c r="K8" s="6">
        <v>134963.51785714278</v>
      </c>
      <c r="L8" s="6"/>
      <c r="M8" s="7">
        <v>-9543.2678571428569</v>
      </c>
      <c r="N8" s="7">
        <v>171749.27678571432</v>
      </c>
      <c r="O8" s="7">
        <v>13617.696428571428</v>
      </c>
      <c r="P8" s="7"/>
      <c r="Q8" s="6"/>
      <c r="R8" s="6"/>
      <c r="S8" s="6">
        <v>143120.65178571426</v>
      </c>
      <c r="T8" s="6">
        <v>104956.64285714281</v>
      </c>
      <c r="U8" s="6">
        <v>179928.8839285718</v>
      </c>
      <c r="V8" s="6">
        <v>204490.17857142846</v>
      </c>
      <c r="W8" s="6">
        <v>126783.91071428565</v>
      </c>
      <c r="X8" s="6"/>
      <c r="Y8" s="6">
        <v>1363.2678571428569</v>
      </c>
      <c r="Z8" s="6">
        <v>76342.25</v>
      </c>
      <c r="AA8" s="6">
        <f t="shared" si="0"/>
        <v>98151.415178571464</v>
      </c>
      <c r="AB8" s="17">
        <f t="shared" si="1"/>
        <v>-0.98611056341202419</v>
      </c>
      <c r="AC8" s="20">
        <f t="shared" si="2"/>
        <v>-21809.165178571464</v>
      </c>
    </row>
    <row r="9" spans="1:29" x14ac:dyDescent="0.25">
      <c r="A9" t="s">
        <v>13</v>
      </c>
      <c r="B9" s="6">
        <v>132839.99999999997</v>
      </c>
      <c r="C9" s="6">
        <v>58117.499999999985</v>
      </c>
      <c r="D9" s="6">
        <v>46701.562499999993</v>
      </c>
      <c r="E9" s="6">
        <v>77524.098214285754</v>
      </c>
      <c r="F9" s="6">
        <v>86812.482142857174</v>
      </c>
      <c r="G9" s="6">
        <v>135122.3571428571</v>
      </c>
      <c r="H9" s="6">
        <v>41711.98214285713</v>
      </c>
      <c r="I9" s="6">
        <v>141902.66071428574</v>
      </c>
      <c r="J9" s="6">
        <v>63565.625000000015</v>
      </c>
      <c r="K9" s="6">
        <v>144946.91964285713</v>
      </c>
      <c r="L9" s="6">
        <v>-7247.3482142857138</v>
      </c>
      <c r="M9" s="7">
        <v>-2542.6964285714284</v>
      </c>
      <c r="N9" s="7">
        <v>63496.40178571429</v>
      </c>
      <c r="O9" s="7">
        <v>46753.133928571413</v>
      </c>
      <c r="P9" s="7">
        <v>-28366.874999999993</v>
      </c>
      <c r="Q9" s="6">
        <v>-10864.026785714284</v>
      </c>
      <c r="R9" s="6">
        <v>-22503.232142857138</v>
      </c>
      <c r="S9" s="6">
        <v>-5673.3571428571413</v>
      </c>
      <c r="T9" s="6">
        <v>61386.23214285721</v>
      </c>
      <c r="U9" s="6">
        <v>73372.892857142826</v>
      </c>
      <c r="V9" s="6">
        <v>86812.48214285713</v>
      </c>
      <c r="W9" s="6">
        <v>51578.964285714283</v>
      </c>
      <c r="X9" s="6">
        <v>-363.23214285714283</v>
      </c>
      <c r="Y9" s="6">
        <v>-33780.589285714283</v>
      </c>
      <c r="Z9" s="6">
        <v>7627.7232142857156</v>
      </c>
      <c r="AA9" s="6">
        <f t="shared" si="0"/>
        <v>30874.706845238088</v>
      </c>
      <c r="AB9" s="17">
        <f t="shared" si="1"/>
        <v>-2.0941185435392846</v>
      </c>
      <c r="AC9" s="20">
        <f t="shared" si="2"/>
        <v>-23246.983630952374</v>
      </c>
    </row>
    <row r="10" spans="1:29" x14ac:dyDescent="0.25">
      <c r="A10" t="s">
        <v>50</v>
      </c>
      <c r="B10" s="6"/>
      <c r="C10" s="6"/>
      <c r="D10" s="6"/>
      <c r="E10" s="6">
        <v>-38060</v>
      </c>
      <c r="F10" s="6">
        <v>-99227.85714285713</v>
      </c>
      <c r="G10" s="6"/>
      <c r="H10" s="6">
        <v>32622.857142857159</v>
      </c>
      <c r="I10" s="6">
        <v>11553.928571428571</v>
      </c>
      <c r="J10" s="6">
        <v>6796.4285714285706</v>
      </c>
      <c r="K10" s="6">
        <v>15631.78571428571</v>
      </c>
      <c r="L10" s="6"/>
      <c r="M10" s="7"/>
      <c r="N10" s="7">
        <v>17670.714285714286</v>
      </c>
      <c r="O10" s="7"/>
      <c r="P10" s="7"/>
      <c r="Q10" s="6"/>
      <c r="R10" s="6"/>
      <c r="S10" s="6">
        <v>5708.9999999999991</v>
      </c>
      <c r="T10" s="6">
        <v>13558.874999999998</v>
      </c>
      <c r="U10" s="6">
        <v>39963</v>
      </c>
      <c r="V10" s="6">
        <v>36462.839285714283</v>
      </c>
      <c r="W10" s="6">
        <v>39962.999999999993</v>
      </c>
      <c r="X10" s="6"/>
      <c r="Y10" s="6">
        <v>-2684.5892857142853</v>
      </c>
      <c r="Z10" s="6">
        <v>5708.9999999999991</v>
      </c>
      <c r="AA10" s="6">
        <f t="shared" si="0"/>
        <v>19902.208333333332</v>
      </c>
      <c r="AB10" s="17">
        <f t="shared" si="1"/>
        <v>-1.134889015367103</v>
      </c>
      <c r="AC10" s="20">
        <f t="shared" si="2"/>
        <v>-14193.208333333332</v>
      </c>
    </row>
    <row r="11" spans="1:29" x14ac:dyDescent="0.25">
      <c r="A11" t="s">
        <v>51</v>
      </c>
      <c r="B11" s="6">
        <v>122596.5267857146</v>
      </c>
      <c r="C11" s="6">
        <v>-492.96428571428567</v>
      </c>
      <c r="D11" s="6">
        <v>-1971.8571428571427</v>
      </c>
      <c r="E11" s="6"/>
      <c r="F11" s="6">
        <v>-4231.8482142857138</v>
      </c>
      <c r="G11" s="6"/>
      <c r="H11" s="6">
        <v>517.61607142857144</v>
      </c>
      <c r="I11" s="6">
        <v>17598.94642857142</v>
      </c>
      <c r="J11" s="6">
        <v>16046.098214285703</v>
      </c>
      <c r="K11" s="6">
        <v>-5219.6696428571422</v>
      </c>
      <c r="L11" s="6">
        <v>-940.41071428571422</v>
      </c>
      <c r="M11" s="7"/>
      <c r="N11" s="7"/>
      <c r="O11" s="7">
        <v>-4231.8482142857138</v>
      </c>
      <c r="P11" s="7">
        <v>-18232.8125</v>
      </c>
      <c r="Q11" s="6">
        <v>-4231.8482142857138</v>
      </c>
      <c r="R11" s="6">
        <v>-1410.6160714285713</v>
      </c>
      <c r="S11" s="6"/>
      <c r="T11" s="6"/>
      <c r="U11" s="6">
        <v>169572</v>
      </c>
      <c r="V11" s="6"/>
      <c r="W11" s="6">
        <v>16848.5</v>
      </c>
      <c r="X11" s="6"/>
      <c r="Y11" s="6">
        <v>-7887.4285714285697</v>
      </c>
      <c r="Z11" s="6">
        <v>5434.9999999999991</v>
      </c>
      <c r="AA11" s="6">
        <f t="shared" si="0"/>
        <v>30661.345238095237</v>
      </c>
      <c r="AB11" s="17">
        <f t="shared" si="1"/>
        <v>-1.2572433958843012</v>
      </c>
      <c r="AC11" s="20">
        <f t="shared" si="2"/>
        <v>-25226.345238095237</v>
      </c>
    </row>
    <row r="12" spans="1:29" x14ac:dyDescent="0.25">
      <c r="A12" t="s">
        <v>52</v>
      </c>
      <c r="B12" s="6">
        <v>63880.250000000022</v>
      </c>
      <c r="C12" s="6">
        <v>-4236.9553571428551</v>
      </c>
      <c r="D12" s="6">
        <v>-325.91964285714278</v>
      </c>
      <c r="E12" s="6">
        <v>42043.633928571464</v>
      </c>
      <c r="F12" s="6">
        <v>15644.142857142862</v>
      </c>
      <c r="G12" s="6">
        <v>7170.2321428571422</v>
      </c>
      <c r="H12" s="6">
        <v>75287.437500000044</v>
      </c>
      <c r="I12" s="6">
        <v>31614.205357142851</v>
      </c>
      <c r="J12" s="6">
        <v>29658.687499999967</v>
      </c>
      <c r="K12" s="6">
        <v>-2281.4374999999995</v>
      </c>
      <c r="L12" s="6">
        <v>-2933.2767857142853</v>
      </c>
      <c r="M12" s="7"/>
      <c r="N12" s="7">
        <v>43673.232142857145</v>
      </c>
      <c r="O12" s="7">
        <v>-325.91964285714278</v>
      </c>
      <c r="P12" s="7">
        <v>-8000.6785714285706</v>
      </c>
      <c r="Q12" s="6">
        <v>-2933.2767857142853</v>
      </c>
      <c r="R12" s="6"/>
      <c r="S12" s="6"/>
      <c r="T12" s="6"/>
      <c r="U12" s="6"/>
      <c r="V12" s="6">
        <v>62576.571428571428</v>
      </c>
      <c r="W12" s="6">
        <v>9777.5892857142844</v>
      </c>
      <c r="X12" s="6">
        <v>-11407.187499999998</v>
      </c>
      <c r="Y12" s="6">
        <v>-11733.107142857141</v>
      </c>
      <c r="Z12" s="6">
        <v>19555.25892857142</v>
      </c>
      <c r="AA12" s="6">
        <f t="shared" si="0"/>
        <v>11461.52083333333</v>
      </c>
      <c r="AB12" s="17">
        <f t="shared" si="1"/>
        <v>-2.0236954862686254</v>
      </c>
      <c r="AC12" s="20">
        <f t="shared" si="2"/>
        <v>8093.73809523809</v>
      </c>
    </row>
    <row r="13" spans="1:29" x14ac:dyDescent="0.25">
      <c r="A13" t="s">
        <v>17</v>
      </c>
      <c r="B13" s="6"/>
      <c r="C13" s="6"/>
      <c r="D13" s="6">
        <v>104545.17857142855</v>
      </c>
      <c r="E13" s="6">
        <v>146640.80357142858</v>
      </c>
      <c r="F13" s="6"/>
      <c r="G13" s="6"/>
      <c r="H13" s="6"/>
      <c r="I13" s="6"/>
      <c r="J13" s="6">
        <v>-9714.375</v>
      </c>
      <c r="K13" s="6">
        <v>-45333.749999999993</v>
      </c>
      <c r="L13" s="6">
        <v>-117497.67857142855</v>
      </c>
      <c r="M13" s="7">
        <v>-5552</v>
      </c>
      <c r="N13" s="7">
        <v>-4163.3035714285706</v>
      </c>
      <c r="O13" s="7">
        <v>-462.58928571428567</v>
      </c>
      <c r="P13" s="7"/>
      <c r="Q13" s="6"/>
      <c r="R13" s="6"/>
      <c r="S13" s="6"/>
      <c r="T13" s="6"/>
      <c r="U13" s="6">
        <v>-2775.5357142857142</v>
      </c>
      <c r="V13" s="6">
        <v>10639.553571428569</v>
      </c>
      <c r="W13" s="6">
        <v>7864.017857142856</v>
      </c>
      <c r="X13" s="6"/>
      <c r="Y13" s="6"/>
      <c r="Z13" s="6">
        <v>5088.4821428571422</v>
      </c>
      <c r="AA13" s="6">
        <f t="shared" si="0"/>
        <v>3469.4196428571418</v>
      </c>
      <c r="AB13" s="17">
        <f t="shared" si="1"/>
        <v>-1</v>
      </c>
      <c r="AC13" s="20">
        <f t="shared" si="2"/>
        <v>1619.0625000000005</v>
      </c>
    </row>
    <row r="14" spans="1:29" x14ac:dyDescent="0.25">
      <c r="A14" t="s">
        <v>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7"/>
      <c r="O14" s="7">
        <v>219214.28571428568</v>
      </c>
      <c r="P14" s="7">
        <v>236892.8571428571</v>
      </c>
      <c r="Q14" s="6"/>
      <c r="R14" s="6"/>
      <c r="S14" s="6"/>
      <c r="T14" s="6"/>
      <c r="U14" s="6"/>
      <c r="V14" s="6">
        <v>77785.714285714275</v>
      </c>
      <c r="W14" s="6">
        <v>31821.428571428565</v>
      </c>
      <c r="X14" s="6"/>
      <c r="Y14" s="6"/>
      <c r="Z14" s="6">
        <v>26518.142857142855</v>
      </c>
      <c r="AA14" s="6">
        <f t="shared" si="0"/>
        <v>22687.547619047615</v>
      </c>
      <c r="AB14" s="17">
        <f t="shared" si="1"/>
        <v>-1</v>
      </c>
      <c r="AC14" s="20">
        <f t="shared" si="2"/>
        <v>3830.5952380952403</v>
      </c>
    </row>
    <row r="15" spans="1:29" x14ac:dyDescent="0.25">
      <c r="A15" t="s">
        <v>53</v>
      </c>
      <c r="B15" s="6">
        <v>113685.42857142854</v>
      </c>
      <c r="C15" s="6">
        <v>47368.928571428565</v>
      </c>
      <c r="D15" s="6">
        <v>18947.571428571428</v>
      </c>
      <c r="E15" s="6">
        <v>5921.1160714285706</v>
      </c>
      <c r="F15" s="6">
        <v>100.39285714285734</v>
      </c>
      <c r="G15" s="6">
        <v>-2318.25</v>
      </c>
      <c r="H15" s="6">
        <v>-2268.0535714285711</v>
      </c>
      <c r="I15" s="6"/>
      <c r="J15" s="6">
        <v>150396.34821428559</v>
      </c>
      <c r="K15" s="6">
        <v>8289.5625</v>
      </c>
      <c r="L15" s="6"/>
      <c r="M15" s="7"/>
      <c r="N15" s="7">
        <v>-1134.0267857142856</v>
      </c>
      <c r="O15" s="7"/>
      <c r="P15" s="7"/>
      <c r="Q15" s="6"/>
      <c r="R15" s="6"/>
      <c r="S15" s="6"/>
      <c r="T15" s="6">
        <v>-1134.0267857142856</v>
      </c>
      <c r="U15" s="6">
        <v>183554.59821428554</v>
      </c>
      <c r="V15" s="6"/>
      <c r="W15" s="6">
        <v>101943.58928571429</v>
      </c>
      <c r="X15" s="6"/>
      <c r="Y15" s="6">
        <v>-2268.0535714285711</v>
      </c>
      <c r="Z15" s="6">
        <v>24868.464285714283</v>
      </c>
      <c r="AA15" s="6">
        <f t="shared" si="0"/>
        <v>51349.766369047582</v>
      </c>
      <c r="AB15" s="17">
        <f t="shared" si="1"/>
        <v>-1.0441687223098195</v>
      </c>
      <c r="AC15" s="20">
        <f t="shared" si="2"/>
        <v>-26481.302083333299</v>
      </c>
    </row>
    <row r="16" spans="1:29" x14ac:dyDescent="0.25">
      <c r="A16" t="s">
        <v>20</v>
      </c>
      <c r="B16" s="6"/>
      <c r="C16" s="6"/>
      <c r="D16" s="6">
        <v>-671.71428571428567</v>
      </c>
      <c r="E16" s="6">
        <v>-4890.9196428571422</v>
      </c>
      <c r="F16" s="6"/>
      <c r="G16" s="6"/>
      <c r="H16" s="6">
        <v>-2183.0714285714284</v>
      </c>
      <c r="I16" s="6">
        <v>-167.92857142857142</v>
      </c>
      <c r="J16" s="6"/>
      <c r="K16" s="6"/>
      <c r="L16" s="6"/>
      <c r="M16" s="7">
        <v>-168</v>
      </c>
      <c r="N16" s="7"/>
      <c r="O16" s="7"/>
      <c r="P16" s="7"/>
      <c r="Q16" s="6"/>
      <c r="R16" s="6">
        <v>-335.85714285714283</v>
      </c>
      <c r="S16" s="6"/>
      <c r="T16" s="6"/>
      <c r="U16" s="6"/>
      <c r="V16" s="6"/>
      <c r="W16" s="6"/>
      <c r="X16" s="6"/>
      <c r="Y16" s="6"/>
      <c r="Z16" s="6"/>
      <c r="AA16" s="6">
        <f t="shared" si="0"/>
        <v>0</v>
      </c>
      <c r="AB16" s="17" t="e">
        <f t="shared" si="1"/>
        <v>#DIV/0!</v>
      </c>
      <c r="AC16" s="20">
        <f t="shared" si="2"/>
        <v>0</v>
      </c>
    </row>
    <row r="17" spans="1:29" x14ac:dyDescent="0.25">
      <c r="A17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368839.28571428568</v>
      </c>
      <c r="N17" s="7"/>
      <c r="O17" s="7"/>
      <c r="P17" s="7"/>
      <c r="Q17" s="7"/>
      <c r="R17" s="7"/>
      <c r="S17" s="7"/>
      <c r="T17" s="6"/>
      <c r="U17" s="6"/>
      <c r="V17" s="6">
        <v>-112459.82142857142</v>
      </c>
      <c r="W17" s="6"/>
      <c r="X17" s="6"/>
      <c r="Y17" s="6">
        <v>-4700.8928571428569</v>
      </c>
      <c r="Z17" s="6"/>
      <c r="AA17" s="6">
        <f t="shared" si="0"/>
        <v>-19526.785714285714</v>
      </c>
      <c r="AB17" s="17">
        <f t="shared" si="1"/>
        <v>-0.7592592592592593</v>
      </c>
      <c r="AC17" s="20">
        <f t="shared" si="2"/>
        <v>19526.785714285714</v>
      </c>
    </row>
    <row r="18" spans="1:29" x14ac:dyDescent="0.25">
      <c r="A18" t="s">
        <v>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  <c r="T18" s="6"/>
      <c r="U18" s="6"/>
      <c r="V18" s="6"/>
      <c r="W18" s="6"/>
      <c r="X18" s="6"/>
      <c r="Y18" s="6"/>
      <c r="Z18" s="6"/>
      <c r="AA18" s="6">
        <f t="shared" si="0"/>
        <v>0</v>
      </c>
      <c r="AB18" s="17" t="e">
        <f t="shared" si="1"/>
        <v>#DIV/0!</v>
      </c>
      <c r="AC18" s="20">
        <f t="shared" si="2"/>
        <v>0</v>
      </c>
    </row>
    <row r="19" spans="1:29" x14ac:dyDescent="0.25">
      <c r="A19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>
        <v>-365.42857142857139</v>
      </c>
      <c r="L19" s="6">
        <v>-1096.2857142857142</v>
      </c>
      <c r="M19" s="6"/>
      <c r="N19" s="7"/>
      <c r="O19" s="7"/>
      <c r="P19" s="7"/>
      <c r="Q19" s="7"/>
      <c r="R19" s="7"/>
      <c r="S19" s="7"/>
      <c r="T19" s="6"/>
      <c r="U19" s="6"/>
      <c r="V19" s="6"/>
      <c r="W19" s="6"/>
      <c r="X19" s="6"/>
      <c r="Y19" s="6"/>
      <c r="Z19" s="6"/>
      <c r="AA19" s="6">
        <f t="shared" si="0"/>
        <v>0</v>
      </c>
      <c r="AB19" s="17" t="e">
        <f t="shared" si="1"/>
        <v>#DIV/0!</v>
      </c>
      <c r="AC19" s="20">
        <f t="shared" si="2"/>
        <v>0</v>
      </c>
    </row>
    <row r="20" spans="1:29" x14ac:dyDescent="0.25">
      <c r="A20" t="s">
        <v>55</v>
      </c>
      <c r="B20" s="6"/>
      <c r="C20" s="6"/>
      <c r="D20" s="6">
        <v>-42086.428571428587</v>
      </c>
      <c r="E20" s="6">
        <v>-213588.62499999994</v>
      </c>
      <c r="F20" s="6">
        <v>-8417.2857142857138</v>
      </c>
      <c r="G20" s="6">
        <v>-1052.1607142857142</v>
      </c>
      <c r="H20" s="6">
        <v>-2104.3214285714284</v>
      </c>
      <c r="I20" s="6">
        <v>-1052.1607142857142</v>
      </c>
      <c r="J20" s="6"/>
      <c r="K20" s="6">
        <v>-3156.4821428571427</v>
      </c>
      <c r="L20" s="6"/>
      <c r="M20" s="6">
        <v>-2104</v>
      </c>
      <c r="N20" s="7"/>
      <c r="O20" s="7"/>
      <c r="P20" s="7"/>
      <c r="Q20" s="7"/>
      <c r="R20" s="7"/>
      <c r="S20" s="7"/>
      <c r="T20" s="6"/>
      <c r="U20" s="6"/>
      <c r="V20" s="6"/>
      <c r="W20" s="6"/>
      <c r="X20" s="6"/>
      <c r="Y20" s="6"/>
      <c r="Z20" s="6"/>
      <c r="AA20" s="6">
        <f t="shared" si="0"/>
        <v>0</v>
      </c>
      <c r="AB20" s="17" t="e">
        <f t="shared" si="1"/>
        <v>#DIV/0!</v>
      </c>
      <c r="AC20" s="20">
        <f t="shared" si="2"/>
        <v>0</v>
      </c>
    </row>
    <row r="21" spans="1:29" x14ac:dyDescent="0.25">
      <c r="A21" t="s">
        <v>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-385.49107142857139</v>
      </c>
      <c r="M21" s="6"/>
      <c r="N21" s="7"/>
      <c r="O21" s="7"/>
      <c r="P21" s="7"/>
      <c r="Q21" s="7"/>
      <c r="R21" s="7"/>
      <c r="S21" s="7"/>
      <c r="T21" s="6"/>
      <c r="U21" s="6"/>
      <c r="V21" s="6"/>
      <c r="W21" s="6"/>
      <c r="X21" s="6"/>
      <c r="Y21" s="6"/>
      <c r="Z21" s="6"/>
      <c r="AA21" s="6">
        <f t="shared" si="0"/>
        <v>0</v>
      </c>
      <c r="AB21" s="17" t="e">
        <f t="shared" si="1"/>
        <v>#DIV/0!</v>
      </c>
      <c r="AC21" s="20">
        <f t="shared" si="2"/>
        <v>0</v>
      </c>
    </row>
    <row r="22" spans="1:29" x14ac:dyDescent="0.25">
      <c r="A22" s="3" t="s">
        <v>33</v>
      </c>
      <c r="B22" s="10">
        <v>1502063.0625000005</v>
      </c>
      <c r="C22" s="10">
        <v>1310855.5446428568</v>
      </c>
      <c r="D22" s="10">
        <v>934368.12500000012</v>
      </c>
      <c r="E22" s="10">
        <v>1179471.6160714286</v>
      </c>
      <c r="F22" s="10">
        <v>1586862.7678571434</v>
      </c>
      <c r="G22" s="10">
        <v>1051267.6785714284</v>
      </c>
      <c r="H22" s="10">
        <v>1814585.3125</v>
      </c>
      <c r="I22" s="10">
        <v>1553075.25</v>
      </c>
      <c r="J22" s="10">
        <v>2080229.2857142859</v>
      </c>
      <c r="K22" s="10">
        <v>2198827.5089285709</v>
      </c>
      <c r="L22" s="10">
        <v>-106328.22321428568</v>
      </c>
      <c r="M22" s="10">
        <v>288925.15178571426</v>
      </c>
      <c r="N22" s="10">
        <f>SUM(N4:N21)</f>
        <v>2093307.5982142857</v>
      </c>
      <c r="O22" s="10">
        <f t="shared" ref="O22:Z22" si="3">SUM(O4:O21)</f>
        <v>991842.33035714296</v>
      </c>
      <c r="P22" s="10">
        <f t="shared" si="3"/>
        <v>2050100.1339285711</v>
      </c>
      <c r="Q22" s="10">
        <f t="shared" si="3"/>
        <v>1184373.5178571427</v>
      </c>
      <c r="R22" s="10">
        <f t="shared" si="3"/>
        <v>753511.04464285693</v>
      </c>
      <c r="S22" s="10">
        <f t="shared" si="3"/>
        <v>1055153.232142857</v>
      </c>
      <c r="T22" s="10">
        <f t="shared" si="3"/>
        <v>1633923.4375</v>
      </c>
      <c r="U22" s="10">
        <f t="shared" si="3"/>
        <v>1925135.517857143</v>
      </c>
      <c r="V22" s="10">
        <f t="shared" si="3"/>
        <v>2495557.9642857141</v>
      </c>
      <c r="W22" s="10">
        <f t="shared" si="3"/>
        <v>2780370.2499999991</v>
      </c>
      <c r="X22" s="10">
        <f t="shared" si="3"/>
        <v>1427273.6160714282</v>
      </c>
      <c r="Y22" s="10">
        <f t="shared" si="3"/>
        <v>335345.67857142852</v>
      </c>
      <c r="Z22" s="10">
        <f t="shared" si="3"/>
        <v>1990142.2589285714</v>
      </c>
      <c r="AA22" s="6">
        <f t="shared" si="0"/>
        <v>1825637.5476190473</v>
      </c>
      <c r="AB22" s="17">
        <f t="shared" si="1"/>
        <v>-0.81631311263904582</v>
      </c>
      <c r="AC22" s="20">
        <f t="shared" si="2"/>
        <v>164504.71130952402</v>
      </c>
    </row>
    <row r="24" spans="1:29" x14ac:dyDescent="0.25">
      <c r="A24" s="1" t="s">
        <v>61</v>
      </c>
    </row>
    <row r="25" spans="1:29" x14ac:dyDescent="0.25">
      <c r="A25" s="1" t="s">
        <v>34</v>
      </c>
    </row>
    <row r="26" spans="1:29" x14ac:dyDescent="0.25">
      <c r="A26" s="3" t="s">
        <v>2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</v>
      </c>
      <c r="O26" s="3">
        <v>2</v>
      </c>
      <c r="P26" s="3">
        <v>3</v>
      </c>
      <c r="Q26" s="3">
        <v>4</v>
      </c>
      <c r="R26" s="3">
        <v>5</v>
      </c>
      <c r="S26" s="3">
        <v>6</v>
      </c>
      <c r="T26" s="3">
        <v>7</v>
      </c>
      <c r="U26" s="3">
        <v>8</v>
      </c>
      <c r="V26" s="3">
        <v>9</v>
      </c>
      <c r="W26" s="3">
        <v>10</v>
      </c>
      <c r="X26" s="3">
        <v>11</v>
      </c>
      <c r="Y26" s="3">
        <v>12</v>
      </c>
      <c r="Z26" s="3">
        <v>1</v>
      </c>
      <c r="AA26" s="4" t="s">
        <v>3</v>
      </c>
      <c r="AB26" s="4" t="s">
        <v>4</v>
      </c>
      <c r="AC26" s="4" t="s">
        <v>5</v>
      </c>
    </row>
    <row r="27" spans="1:29" x14ac:dyDescent="0.25">
      <c r="A27" t="s">
        <v>41</v>
      </c>
      <c r="B27" s="6">
        <v>180</v>
      </c>
      <c r="C27" s="6">
        <v>1572</v>
      </c>
      <c r="D27" s="6">
        <v>90</v>
      </c>
      <c r="E27" s="6">
        <v>414</v>
      </c>
      <c r="F27" s="6">
        <v>1447</v>
      </c>
      <c r="G27" s="6">
        <v>419</v>
      </c>
      <c r="H27" s="6">
        <v>1513</v>
      </c>
      <c r="I27" s="6">
        <v>668</v>
      </c>
      <c r="J27" s="6">
        <v>932</v>
      </c>
      <c r="K27" s="6">
        <v>919</v>
      </c>
      <c r="L27" s="6">
        <v>3</v>
      </c>
      <c r="M27" s="7">
        <v>-39</v>
      </c>
      <c r="N27" s="7">
        <v>1088</v>
      </c>
      <c r="O27" s="7">
        <v>365</v>
      </c>
      <c r="P27" s="7">
        <v>875</v>
      </c>
      <c r="Q27" s="6">
        <v>415</v>
      </c>
      <c r="R27" s="6">
        <v>825</v>
      </c>
      <c r="S27" s="6">
        <v>185</v>
      </c>
      <c r="T27" s="6">
        <v>598</v>
      </c>
      <c r="U27" s="6">
        <v>688</v>
      </c>
      <c r="V27" s="16">
        <v>1052</v>
      </c>
      <c r="W27" s="16">
        <v>1081</v>
      </c>
      <c r="X27" s="16">
        <v>571</v>
      </c>
      <c r="Y27" s="16">
        <v>173</v>
      </c>
      <c r="Z27" s="16">
        <v>647</v>
      </c>
      <c r="AA27" s="6">
        <f t="shared" ref="AA27:AA45" si="4">SUM(U27:Z27)/6</f>
        <v>702</v>
      </c>
      <c r="AB27" s="17">
        <f t="shared" ref="AB27:AB45" si="5">Y27/AA27-1</f>
        <v>-0.75356125356125359</v>
      </c>
      <c r="AC27" s="20">
        <f t="shared" ref="AC27:AC45" si="6">Z27-AA27</f>
        <v>-55</v>
      </c>
    </row>
    <row r="28" spans="1:29" x14ac:dyDescent="0.25">
      <c r="A28" t="s">
        <v>44</v>
      </c>
      <c r="B28" s="6">
        <v>396</v>
      </c>
      <c r="C28" s="6">
        <v>121</v>
      </c>
      <c r="D28" s="6">
        <v>250</v>
      </c>
      <c r="E28" s="6">
        <v>238</v>
      </c>
      <c r="F28" s="6">
        <v>367</v>
      </c>
      <c r="G28" s="6">
        <v>197</v>
      </c>
      <c r="H28" s="6">
        <v>66</v>
      </c>
      <c r="I28" s="6">
        <v>347</v>
      </c>
      <c r="J28" s="6">
        <v>311</v>
      </c>
      <c r="K28" s="6">
        <v>389</v>
      </c>
      <c r="L28" s="6">
        <v>9</v>
      </c>
      <c r="M28" s="7">
        <v>-4</v>
      </c>
      <c r="N28" s="7">
        <v>111</v>
      </c>
      <c r="O28" s="7">
        <v>315</v>
      </c>
      <c r="P28" s="7">
        <v>510</v>
      </c>
      <c r="Q28" s="6">
        <v>372</v>
      </c>
      <c r="R28" s="6">
        <v>112</v>
      </c>
      <c r="S28" s="6">
        <v>218</v>
      </c>
      <c r="T28" s="6">
        <v>330</v>
      </c>
      <c r="U28" s="6">
        <v>231</v>
      </c>
      <c r="V28" s="16">
        <v>448</v>
      </c>
      <c r="W28" s="16">
        <v>496</v>
      </c>
      <c r="X28" s="16">
        <v>266</v>
      </c>
      <c r="Y28" s="16">
        <v>129</v>
      </c>
      <c r="Z28" s="16">
        <v>319</v>
      </c>
      <c r="AA28" s="6">
        <f t="shared" si="4"/>
        <v>314.83333333333331</v>
      </c>
      <c r="AB28" s="17">
        <f t="shared" si="5"/>
        <v>-0.59025939650608783</v>
      </c>
      <c r="AC28" s="20">
        <f t="shared" si="6"/>
        <v>4.1666666666666856</v>
      </c>
    </row>
    <row r="29" spans="1:29" x14ac:dyDescent="0.25">
      <c r="A29" t="s">
        <v>10</v>
      </c>
      <c r="B29" s="6">
        <v>540</v>
      </c>
      <c r="C29" s="6">
        <v>228</v>
      </c>
      <c r="D29" s="6">
        <v>186</v>
      </c>
      <c r="E29" s="6">
        <v>244</v>
      </c>
      <c r="F29" s="6">
        <v>335</v>
      </c>
      <c r="G29" s="6">
        <v>359</v>
      </c>
      <c r="H29" s="6">
        <v>96</v>
      </c>
      <c r="I29" s="6">
        <v>151</v>
      </c>
      <c r="J29" s="6">
        <v>857</v>
      </c>
      <c r="K29" s="6">
        <v>275</v>
      </c>
      <c r="L29" s="6">
        <v>-6</v>
      </c>
      <c r="M29" s="7">
        <v>-16</v>
      </c>
      <c r="N29" s="7">
        <v>648</v>
      </c>
      <c r="O29" s="7">
        <v>-8</v>
      </c>
      <c r="P29" s="7">
        <v>-20</v>
      </c>
      <c r="Q29" s="6">
        <v>203</v>
      </c>
      <c r="R29" s="6">
        <v>-11</v>
      </c>
      <c r="S29" s="6">
        <v>102</v>
      </c>
      <c r="T29" s="6">
        <v>551</v>
      </c>
      <c r="U29" s="6">
        <v>249</v>
      </c>
      <c r="V29" s="16">
        <v>439</v>
      </c>
      <c r="W29" s="16">
        <v>645</v>
      </c>
      <c r="X29" s="16">
        <v>277</v>
      </c>
      <c r="Y29" s="16">
        <v>2</v>
      </c>
      <c r="Z29" s="16">
        <v>416</v>
      </c>
      <c r="AA29" s="6">
        <f t="shared" si="4"/>
        <v>338</v>
      </c>
      <c r="AB29" s="17">
        <f t="shared" si="5"/>
        <v>-0.99408284023668636</v>
      </c>
      <c r="AC29" s="20">
        <f t="shared" si="6"/>
        <v>78</v>
      </c>
    </row>
    <row r="30" spans="1:29" x14ac:dyDescent="0.25">
      <c r="A30" t="s">
        <v>47</v>
      </c>
      <c r="B30" s="6">
        <v>151</v>
      </c>
      <c r="C30" s="6">
        <v>38</v>
      </c>
      <c r="D30" s="6">
        <v>221</v>
      </c>
      <c r="E30" s="6">
        <v>277</v>
      </c>
      <c r="F30" s="6">
        <v>113</v>
      </c>
      <c r="G30" s="6">
        <v>112</v>
      </c>
      <c r="H30" s="6">
        <v>375</v>
      </c>
      <c r="I30" s="6">
        <v>321</v>
      </c>
      <c r="J30" s="6">
        <v>311</v>
      </c>
      <c r="K30" s="6">
        <v>618</v>
      </c>
      <c r="L30" s="6">
        <v>11</v>
      </c>
      <c r="M30" s="7">
        <v>-18</v>
      </c>
      <c r="N30" s="7">
        <v>507</v>
      </c>
      <c r="O30" s="7">
        <v>142</v>
      </c>
      <c r="P30" s="7">
        <v>603</v>
      </c>
      <c r="Q30" s="6">
        <v>338</v>
      </c>
      <c r="R30" s="6">
        <v>153</v>
      </c>
      <c r="S30" s="6">
        <v>360</v>
      </c>
      <c r="T30" s="6">
        <v>332</v>
      </c>
      <c r="U30" s="6">
        <v>362</v>
      </c>
      <c r="V30" s="16">
        <v>598</v>
      </c>
      <c r="W30" s="16">
        <v>641</v>
      </c>
      <c r="X30" s="16">
        <v>476</v>
      </c>
      <c r="Y30" s="16">
        <v>117</v>
      </c>
      <c r="Z30" s="16">
        <v>616</v>
      </c>
      <c r="AA30" s="6">
        <f t="shared" si="4"/>
        <v>468.33333333333331</v>
      </c>
      <c r="AB30" s="17">
        <f t="shared" si="5"/>
        <v>-0.75017793594306048</v>
      </c>
      <c r="AC30" s="20">
        <f t="shared" si="6"/>
        <v>147.66666666666669</v>
      </c>
    </row>
    <row r="31" spans="1:29" x14ac:dyDescent="0.25">
      <c r="A31" t="s">
        <v>49</v>
      </c>
      <c r="B31" s="6">
        <v>116</v>
      </c>
      <c r="C31" s="6">
        <v>80</v>
      </c>
      <c r="D31" s="6">
        <v>55</v>
      </c>
      <c r="E31" s="6">
        <v>104</v>
      </c>
      <c r="F31" s="6">
        <v>76</v>
      </c>
      <c r="G31" s="6">
        <v>94</v>
      </c>
      <c r="H31" s="6">
        <v>116</v>
      </c>
      <c r="I31" s="6">
        <v>49</v>
      </c>
      <c r="J31" s="6">
        <v>66</v>
      </c>
      <c r="K31" s="6">
        <v>99</v>
      </c>
      <c r="L31" s="6"/>
      <c r="M31" s="7">
        <v>-7</v>
      </c>
      <c r="N31" s="7">
        <v>126</v>
      </c>
      <c r="O31" s="7">
        <v>10</v>
      </c>
      <c r="P31" s="7"/>
      <c r="Q31" s="6"/>
      <c r="R31" s="6"/>
      <c r="S31" s="6">
        <v>105</v>
      </c>
      <c r="T31" s="6">
        <v>77</v>
      </c>
      <c r="U31" s="6">
        <v>132</v>
      </c>
      <c r="V31" s="16">
        <v>150</v>
      </c>
      <c r="W31" s="16">
        <v>93</v>
      </c>
      <c r="X31" s="16"/>
      <c r="Y31" s="16">
        <v>1</v>
      </c>
      <c r="Z31" s="16">
        <v>56</v>
      </c>
      <c r="AA31" s="6">
        <f t="shared" si="4"/>
        <v>72</v>
      </c>
      <c r="AB31" s="17">
        <f t="shared" si="5"/>
        <v>-0.98611111111111116</v>
      </c>
      <c r="AC31" s="20">
        <f t="shared" si="6"/>
        <v>-16</v>
      </c>
    </row>
    <row r="32" spans="1:29" x14ac:dyDescent="0.25">
      <c r="A32" t="s">
        <v>13</v>
      </c>
      <c r="B32" s="6">
        <v>468</v>
      </c>
      <c r="C32" s="6">
        <v>168</v>
      </c>
      <c r="D32" s="6">
        <v>135</v>
      </c>
      <c r="E32" s="6">
        <v>213</v>
      </c>
      <c r="F32" s="6">
        <v>239</v>
      </c>
      <c r="G32" s="6">
        <v>372</v>
      </c>
      <c r="H32" s="6">
        <v>111</v>
      </c>
      <c r="I32" s="6">
        <v>390</v>
      </c>
      <c r="J32" s="6">
        <v>175</v>
      </c>
      <c r="K32" s="6">
        <v>399</v>
      </c>
      <c r="L32" s="6">
        <v>-20</v>
      </c>
      <c r="M32" s="7">
        <v>-7</v>
      </c>
      <c r="N32" s="7">
        <v>174</v>
      </c>
      <c r="O32" s="7">
        <v>128</v>
      </c>
      <c r="P32" s="7">
        <v>-82</v>
      </c>
      <c r="Q32" s="6">
        <v>-36</v>
      </c>
      <c r="R32" s="6">
        <v>-65</v>
      </c>
      <c r="S32" s="6">
        <v>-16</v>
      </c>
      <c r="T32" s="6">
        <v>169</v>
      </c>
      <c r="U32" s="6">
        <v>202</v>
      </c>
      <c r="V32" s="16">
        <v>246</v>
      </c>
      <c r="W32" s="16">
        <v>142</v>
      </c>
      <c r="X32" s="16">
        <v>-1</v>
      </c>
      <c r="Y32" s="16">
        <v>-93</v>
      </c>
      <c r="Z32" s="16">
        <v>21</v>
      </c>
      <c r="AA32" s="6">
        <f t="shared" si="4"/>
        <v>86.166666666666671</v>
      </c>
      <c r="AB32" s="17">
        <f t="shared" si="5"/>
        <v>-2.0793036750483558</v>
      </c>
      <c r="AC32" s="20">
        <f t="shared" si="6"/>
        <v>-65.166666666666671</v>
      </c>
    </row>
    <row r="33" spans="1:29" x14ac:dyDescent="0.25">
      <c r="A33" t="s">
        <v>50</v>
      </c>
      <c r="B33" s="6"/>
      <c r="C33" s="6"/>
      <c r="D33" s="6"/>
      <c r="E33" s="6">
        <v>-56</v>
      </c>
      <c r="F33" s="6">
        <v>-146</v>
      </c>
      <c r="G33" s="6"/>
      <c r="H33" s="6">
        <v>48</v>
      </c>
      <c r="I33" s="6">
        <v>17</v>
      </c>
      <c r="J33" s="6">
        <v>10</v>
      </c>
      <c r="K33" s="6">
        <v>23</v>
      </c>
      <c r="L33" s="6"/>
      <c r="M33" s="7"/>
      <c r="N33" s="7">
        <v>26</v>
      </c>
      <c r="O33" s="7"/>
      <c r="P33" s="7"/>
      <c r="Q33" s="6"/>
      <c r="R33" s="6"/>
      <c r="S33" s="6">
        <v>8</v>
      </c>
      <c r="T33" s="6">
        <v>19</v>
      </c>
      <c r="U33" s="6">
        <v>56</v>
      </c>
      <c r="V33" s="16">
        <v>51</v>
      </c>
      <c r="W33" s="16">
        <v>56</v>
      </c>
      <c r="X33" s="16"/>
      <c r="Y33" s="16">
        <v>-4</v>
      </c>
      <c r="Z33" s="16">
        <v>8</v>
      </c>
      <c r="AA33" s="6">
        <f t="shared" si="4"/>
        <v>27.833333333333332</v>
      </c>
      <c r="AB33" s="17">
        <f t="shared" si="5"/>
        <v>-1.1437125748502994</v>
      </c>
      <c r="AC33" s="20">
        <f t="shared" si="6"/>
        <v>-19.833333333333332</v>
      </c>
    </row>
    <row r="34" spans="1:29" x14ac:dyDescent="0.25">
      <c r="A34" t="s">
        <v>51</v>
      </c>
      <c r="B34" s="6">
        <v>248</v>
      </c>
      <c r="C34" s="6">
        <v>-1</v>
      </c>
      <c r="D34" s="6">
        <v>-4</v>
      </c>
      <c r="E34" s="6"/>
      <c r="F34" s="6">
        <v>-9</v>
      </c>
      <c r="G34" s="6"/>
      <c r="H34" s="6">
        <v>1</v>
      </c>
      <c r="I34" s="6">
        <v>34</v>
      </c>
      <c r="J34" s="6">
        <v>31</v>
      </c>
      <c r="K34" s="6">
        <v>-11</v>
      </c>
      <c r="L34" s="6">
        <v>-2</v>
      </c>
      <c r="M34" s="7"/>
      <c r="N34" s="7"/>
      <c r="O34" s="7">
        <v>-9</v>
      </c>
      <c r="P34" s="7">
        <v>-43</v>
      </c>
      <c r="Q34" s="6">
        <v>-9</v>
      </c>
      <c r="R34" s="6">
        <v>-3</v>
      </c>
      <c r="S34" s="6"/>
      <c r="T34" s="6"/>
      <c r="U34" s="6">
        <v>312</v>
      </c>
      <c r="V34" s="16"/>
      <c r="W34" s="16">
        <v>31</v>
      </c>
      <c r="X34" s="16"/>
      <c r="Y34" s="16">
        <v>-16</v>
      </c>
      <c r="Z34" s="16">
        <v>10</v>
      </c>
      <c r="AA34" s="6">
        <f t="shared" si="4"/>
        <v>56.166666666666664</v>
      </c>
      <c r="AB34" s="17">
        <f t="shared" si="5"/>
        <v>-1.28486646884273</v>
      </c>
      <c r="AC34" s="20">
        <f t="shared" si="6"/>
        <v>-46.166666666666664</v>
      </c>
    </row>
    <row r="35" spans="1:29" x14ac:dyDescent="0.25">
      <c r="A35" t="s">
        <v>52</v>
      </c>
      <c r="B35" s="6">
        <v>236</v>
      </c>
      <c r="C35" s="6">
        <v>-13</v>
      </c>
      <c r="D35" s="6">
        <v>-1</v>
      </c>
      <c r="E35" s="6">
        <v>129</v>
      </c>
      <c r="F35" s="6">
        <v>48</v>
      </c>
      <c r="G35" s="6">
        <v>22</v>
      </c>
      <c r="H35" s="6">
        <v>231</v>
      </c>
      <c r="I35" s="6">
        <v>97</v>
      </c>
      <c r="J35" s="6">
        <v>91</v>
      </c>
      <c r="K35" s="6">
        <v>-7</v>
      </c>
      <c r="L35" s="6">
        <v>-9</v>
      </c>
      <c r="M35" s="7"/>
      <c r="N35" s="7">
        <v>134</v>
      </c>
      <c r="O35" s="7">
        <v>-1</v>
      </c>
      <c r="P35" s="7">
        <v>-27</v>
      </c>
      <c r="Q35" s="6">
        <v>-9</v>
      </c>
      <c r="R35" s="6"/>
      <c r="S35" s="6"/>
      <c r="T35" s="6"/>
      <c r="U35" s="6"/>
      <c r="V35" s="16">
        <v>192</v>
      </c>
      <c r="W35" s="16">
        <v>30</v>
      </c>
      <c r="X35" s="16">
        <v>-35</v>
      </c>
      <c r="Y35" s="16">
        <v>-36</v>
      </c>
      <c r="Z35" s="16">
        <v>60</v>
      </c>
      <c r="AA35" s="6">
        <f t="shared" si="4"/>
        <v>35.166666666666664</v>
      </c>
      <c r="AB35" s="17">
        <f t="shared" si="5"/>
        <v>-2.0236966824644549</v>
      </c>
      <c r="AC35" s="20">
        <f t="shared" si="6"/>
        <v>24.833333333333336</v>
      </c>
    </row>
    <row r="36" spans="1:29" x14ac:dyDescent="0.25">
      <c r="A36" t="s">
        <v>17</v>
      </c>
      <c r="B36" s="6"/>
      <c r="C36" s="6"/>
      <c r="D36" s="6">
        <v>226</v>
      </c>
      <c r="E36" s="6">
        <v>317</v>
      </c>
      <c r="F36" s="6"/>
      <c r="G36" s="6"/>
      <c r="H36" s="6"/>
      <c r="I36" s="6"/>
      <c r="J36" s="6">
        <v>-21</v>
      </c>
      <c r="K36" s="6">
        <v>-98</v>
      </c>
      <c r="L36" s="6">
        <v>-254</v>
      </c>
      <c r="M36" s="7">
        <v>-12</v>
      </c>
      <c r="N36" s="7">
        <v>-9</v>
      </c>
      <c r="O36" s="7">
        <v>-1</v>
      </c>
      <c r="P36" s="7"/>
      <c r="Q36" s="6"/>
      <c r="R36" s="6"/>
      <c r="S36" s="6"/>
      <c r="T36" s="6"/>
      <c r="U36" s="6">
        <v>-6</v>
      </c>
      <c r="V36" s="16">
        <v>23</v>
      </c>
      <c r="W36" s="16">
        <v>17</v>
      </c>
      <c r="X36" s="16"/>
      <c r="Y36" s="16"/>
      <c r="Z36" s="16">
        <v>11</v>
      </c>
      <c r="AA36" s="6">
        <f t="shared" si="4"/>
        <v>7.5</v>
      </c>
      <c r="AB36" s="17">
        <f t="shared" si="5"/>
        <v>-1</v>
      </c>
      <c r="AC36" s="20">
        <f t="shared" si="6"/>
        <v>3.5</v>
      </c>
    </row>
    <row r="37" spans="1:29" x14ac:dyDescent="0.25">
      <c r="A37" t="s">
        <v>18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7"/>
      <c r="O37" s="7">
        <v>124</v>
      </c>
      <c r="P37" s="7">
        <v>134</v>
      </c>
      <c r="Q37" s="6"/>
      <c r="R37" s="6"/>
      <c r="S37" s="6"/>
      <c r="T37" s="6"/>
      <c r="U37" s="6"/>
      <c r="V37" s="16">
        <v>44</v>
      </c>
      <c r="W37" s="16">
        <v>18</v>
      </c>
      <c r="X37" s="16"/>
      <c r="Y37" s="16"/>
      <c r="Z37" s="16">
        <v>15</v>
      </c>
      <c r="AA37" s="6">
        <f t="shared" si="4"/>
        <v>12.833333333333334</v>
      </c>
      <c r="AB37" s="17">
        <f t="shared" si="5"/>
        <v>-1</v>
      </c>
      <c r="AC37" s="20">
        <f t="shared" si="6"/>
        <v>2.1666666666666661</v>
      </c>
    </row>
    <row r="38" spans="1:29" x14ac:dyDescent="0.25">
      <c r="A38" t="s">
        <v>53</v>
      </c>
      <c r="B38" s="6">
        <v>96</v>
      </c>
      <c r="C38" s="6">
        <v>40</v>
      </c>
      <c r="D38" s="6">
        <v>16</v>
      </c>
      <c r="E38" s="6">
        <v>5</v>
      </c>
      <c r="F38" s="6">
        <v>0</v>
      </c>
      <c r="G38" s="6">
        <v>-2</v>
      </c>
      <c r="H38" s="6">
        <v>-2</v>
      </c>
      <c r="I38" s="6"/>
      <c r="J38" s="6">
        <v>127</v>
      </c>
      <c r="K38" s="6">
        <v>7</v>
      </c>
      <c r="L38" s="6"/>
      <c r="M38" s="7"/>
      <c r="N38" s="7">
        <v>-1</v>
      </c>
      <c r="O38" s="7"/>
      <c r="P38" s="7"/>
      <c r="Q38" s="6"/>
      <c r="R38" s="6"/>
      <c r="S38" s="6"/>
      <c r="T38" s="6">
        <v>-1</v>
      </c>
      <c r="U38" s="6">
        <v>155</v>
      </c>
      <c r="V38" s="16"/>
      <c r="W38" s="16">
        <v>86</v>
      </c>
      <c r="X38" s="16"/>
      <c r="Y38" s="16">
        <v>-2</v>
      </c>
      <c r="Z38" s="16">
        <v>21</v>
      </c>
      <c r="AA38" s="6">
        <f t="shared" si="4"/>
        <v>43.333333333333336</v>
      </c>
      <c r="AB38" s="17">
        <f t="shared" si="5"/>
        <v>-1.0461538461538462</v>
      </c>
      <c r="AC38" s="20">
        <f t="shared" si="6"/>
        <v>-22.333333333333336</v>
      </c>
    </row>
    <row r="39" spans="1:29" x14ac:dyDescent="0.25">
      <c r="A39" t="s">
        <v>20</v>
      </c>
      <c r="B39" s="6"/>
      <c r="C39" s="6"/>
      <c r="D39" s="6">
        <v>-4</v>
      </c>
      <c r="E39" s="6">
        <v>-30</v>
      </c>
      <c r="F39" s="6"/>
      <c r="G39" s="6"/>
      <c r="H39" s="6">
        <v>-13</v>
      </c>
      <c r="I39" s="6">
        <v>-1</v>
      </c>
      <c r="J39" s="6"/>
      <c r="K39" s="6"/>
      <c r="L39" s="6"/>
      <c r="M39" s="7">
        <v>-1</v>
      </c>
      <c r="N39" s="7"/>
      <c r="O39" s="7"/>
      <c r="P39" s="7"/>
      <c r="Q39" s="6"/>
      <c r="R39" s="6">
        <v>-2</v>
      </c>
      <c r="S39" s="6"/>
      <c r="T39" s="6"/>
      <c r="U39" s="6"/>
      <c r="V39" s="16"/>
      <c r="W39" s="16"/>
      <c r="X39" s="16"/>
      <c r="Y39" s="16"/>
      <c r="Z39" s="16"/>
      <c r="AA39" s="6">
        <f t="shared" si="4"/>
        <v>0</v>
      </c>
      <c r="AB39" s="17" t="e">
        <f t="shared" si="5"/>
        <v>#DIV/0!</v>
      </c>
      <c r="AC39" s="20">
        <f t="shared" si="6"/>
        <v>0</v>
      </c>
    </row>
    <row r="40" spans="1:29" x14ac:dyDescent="0.25">
      <c r="A40" t="s">
        <v>21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v>1020</v>
      </c>
      <c r="N40" s="7"/>
      <c r="O40" s="7"/>
      <c r="P40" s="7"/>
      <c r="Q40" s="7"/>
      <c r="R40" s="7"/>
      <c r="S40" s="7"/>
      <c r="T40" s="6"/>
      <c r="U40" s="6"/>
      <c r="V40" s="16">
        <v>-311</v>
      </c>
      <c r="W40" s="16"/>
      <c r="X40" s="16"/>
      <c r="Y40" s="16">
        <v>-13</v>
      </c>
      <c r="Z40" s="16"/>
      <c r="AA40" s="6">
        <f t="shared" si="4"/>
        <v>-54</v>
      </c>
      <c r="AB40" s="17">
        <f t="shared" si="5"/>
        <v>-0.7592592592592593</v>
      </c>
      <c r="AC40" s="20">
        <f t="shared" si="6"/>
        <v>54</v>
      </c>
    </row>
    <row r="41" spans="1:29" x14ac:dyDescent="0.25">
      <c r="A41" t="s">
        <v>24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  <c r="O41" s="7"/>
      <c r="P41" s="7"/>
      <c r="Q41" s="7"/>
      <c r="R41" s="7"/>
      <c r="S41" s="7"/>
      <c r="T41" s="6"/>
      <c r="U41" s="6"/>
      <c r="V41" s="16"/>
      <c r="W41" s="16"/>
      <c r="X41" s="16"/>
      <c r="Y41" s="16"/>
      <c r="Z41" s="16"/>
      <c r="AA41" s="6">
        <f t="shared" si="4"/>
        <v>0</v>
      </c>
      <c r="AB41" s="17" t="e">
        <f t="shared" si="5"/>
        <v>#DIV/0!</v>
      </c>
      <c r="AC41" s="20">
        <f t="shared" si="6"/>
        <v>0</v>
      </c>
    </row>
    <row r="42" spans="1:29" x14ac:dyDescent="0.25">
      <c r="A42" t="s">
        <v>25</v>
      </c>
      <c r="B42" s="6"/>
      <c r="C42" s="6"/>
      <c r="D42" s="6"/>
      <c r="E42" s="6"/>
      <c r="F42" s="6"/>
      <c r="G42" s="6"/>
      <c r="H42" s="6"/>
      <c r="I42" s="6"/>
      <c r="J42" s="6"/>
      <c r="K42" s="6">
        <v>-1</v>
      </c>
      <c r="L42" s="6">
        <v>-3</v>
      </c>
      <c r="M42" s="6"/>
      <c r="N42" s="7"/>
      <c r="O42" s="7"/>
      <c r="P42" s="7"/>
      <c r="Q42" s="7"/>
      <c r="R42" s="7"/>
      <c r="S42" s="7"/>
      <c r="T42" s="6"/>
      <c r="U42" s="6"/>
      <c r="V42" s="16"/>
      <c r="W42" s="16"/>
      <c r="X42" s="16"/>
      <c r="Y42" s="16"/>
      <c r="Z42" s="16"/>
      <c r="AA42" s="6">
        <f t="shared" si="4"/>
        <v>0</v>
      </c>
      <c r="AB42" s="17" t="e">
        <f t="shared" si="5"/>
        <v>#DIV/0!</v>
      </c>
      <c r="AC42" s="20">
        <f t="shared" si="6"/>
        <v>0</v>
      </c>
    </row>
    <row r="43" spans="1:29" x14ac:dyDescent="0.25">
      <c r="A43" t="s">
        <v>55</v>
      </c>
      <c r="B43" s="6"/>
      <c r="C43" s="6"/>
      <c r="D43" s="6">
        <v>-40</v>
      </c>
      <c r="E43" s="6">
        <v>-203</v>
      </c>
      <c r="F43" s="6">
        <v>-8</v>
      </c>
      <c r="G43" s="6">
        <v>-1</v>
      </c>
      <c r="H43" s="6">
        <v>-2</v>
      </c>
      <c r="I43" s="6">
        <v>-1</v>
      </c>
      <c r="J43" s="6"/>
      <c r="K43" s="6">
        <v>-3</v>
      </c>
      <c r="L43" s="6"/>
      <c r="M43" s="6">
        <v>-2</v>
      </c>
      <c r="N43" s="7"/>
      <c r="O43" s="7"/>
      <c r="P43" s="7"/>
      <c r="Q43" s="7"/>
      <c r="R43" s="7"/>
      <c r="S43" s="7"/>
      <c r="T43" s="6"/>
      <c r="U43" s="6"/>
      <c r="V43" s="16"/>
      <c r="W43" s="16"/>
      <c r="X43" s="16"/>
      <c r="Y43" s="16"/>
      <c r="Z43" s="16"/>
      <c r="AA43" s="6">
        <f t="shared" si="4"/>
        <v>0</v>
      </c>
      <c r="AB43" s="17" t="e">
        <f t="shared" si="5"/>
        <v>#DIV/0!</v>
      </c>
      <c r="AC43" s="20">
        <f t="shared" si="6"/>
        <v>0</v>
      </c>
    </row>
    <row r="44" spans="1:29" x14ac:dyDescent="0.25">
      <c r="A44" t="s">
        <v>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v>-2</v>
      </c>
      <c r="M44" s="6"/>
      <c r="N44" s="7"/>
      <c r="O44" s="7"/>
      <c r="P44" s="7"/>
      <c r="Q44" s="7"/>
      <c r="R44" s="7"/>
      <c r="S44" s="7"/>
      <c r="T44" s="6"/>
      <c r="U44" s="6"/>
      <c r="V44" s="16"/>
      <c r="W44" s="16"/>
      <c r="X44" s="16"/>
      <c r="Y44" s="16"/>
      <c r="Z44" s="16"/>
      <c r="AA44" s="6">
        <f t="shared" si="4"/>
        <v>0</v>
      </c>
      <c r="AB44" s="17" t="e">
        <f t="shared" si="5"/>
        <v>#DIV/0!</v>
      </c>
      <c r="AC44" s="20">
        <f t="shared" si="6"/>
        <v>0</v>
      </c>
    </row>
    <row r="45" spans="1:29" x14ac:dyDescent="0.25">
      <c r="A45" s="3" t="s">
        <v>33</v>
      </c>
      <c r="B45" s="10">
        <v>2431</v>
      </c>
      <c r="C45" s="10">
        <v>2233</v>
      </c>
      <c r="D45" s="10">
        <v>1130</v>
      </c>
      <c r="E45" s="10">
        <v>1652</v>
      </c>
      <c r="F45" s="10">
        <v>2462</v>
      </c>
      <c r="G45" s="10">
        <v>1572</v>
      </c>
      <c r="H45" s="10">
        <v>2540</v>
      </c>
      <c r="I45" s="10">
        <v>2072</v>
      </c>
      <c r="J45" s="10">
        <v>2890</v>
      </c>
      <c r="K45" s="10">
        <v>2609</v>
      </c>
      <c r="L45" s="10">
        <v>-273</v>
      </c>
      <c r="M45" s="10">
        <v>914</v>
      </c>
      <c r="N45" s="10">
        <f t="shared" ref="N45:Z45" si="7">SUM(N27:N44)</f>
        <v>2804</v>
      </c>
      <c r="O45" s="10">
        <f t="shared" si="7"/>
        <v>1065</v>
      </c>
      <c r="P45" s="10">
        <f t="shared" si="7"/>
        <v>1950</v>
      </c>
      <c r="Q45" s="10">
        <f t="shared" si="7"/>
        <v>1274</v>
      </c>
      <c r="R45" s="10">
        <f t="shared" si="7"/>
        <v>1009</v>
      </c>
      <c r="S45" s="10">
        <f t="shared" si="7"/>
        <v>962</v>
      </c>
      <c r="T45" s="10">
        <f t="shared" si="7"/>
        <v>2075</v>
      </c>
      <c r="U45" s="10">
        <f t="shared" si="7"/>
        <v>2381</v>
      </c>
      <c r="V45" s="10">
        <f t="shared" si="7"/>
        <v>2932</v>
      </c>
      <c r="W45" s="10">
        <f t="shared" si="7"/>
        <v>3336</v>
      </c>
      <c r="X45" s="10">
        <f t="shared" si="7"/>
        <v>1554</v>
      </c>
      <c r="Y45" s="10">
        <f t="shared" si="7"/>
        <v>258</v>
      </c>
      <c r="Z45" s="10">
        <f t="shared" si="7"/>
        <v>2200</v>
      </c>
      <c r="AA45" s="6">
        <f t="shared" si="4"/>
        <v>2110.1666666666665</v>
      </c>
      <c r="AB45" s="17">
        <f t="shared" si="5"/>
        <v>-0.8777347760840376</v>
      </c>
      <c r="AC45" s="20">
        <f t="shared" si="6"/>
        <v>89.833333333333485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00D9-7F86-4337-8926-969BA76F87D9}">
  <dimension ref="A1:AC43"/>
  <sheetViews>
    <sheetView topLeftCell="A13" zoomScale="70" zoomScaleNormal="70" workbookViewId="0">
      <selection activeCell="Z26" sqref="Z26:Z40"/>
    </sheetView>
  </sheetViews>
  <sheetFormatPr defaultRowHeight="15" outlineLevelCol="1" x14ac:dyDescent="0.25"/>
  <cols>
    <col min="1" max="1" width="36" bestFit="1" customWidth="1"/>
    <col min="2" max="2" width="14.7109375" hidden="1" customWidth="1" outlineLevel="1"/>
    <col min="3" max="3" width="14" hidden="1" customWidth="1" outlineLevel="1"/>
    <col min="4" max="4" width="14.7109375" hidden="1" customWidth="1" outlineLevel="1"/>
    <col min="5" max="5" width="12" hidden="1" customWidth="1" outlineLevel="1"/>
    <col min="6" max="6" width="14.28515625" hidden="1" customWidth="1" outlineLevel="1"/>
    <col min="7" max="7" width="14.7109375" hidden="1" customWidth="1" outlineLevel="1"/>
    <col min="8" max="9" width="14.28515625" hidden="1" customWidth="1" outlineLevel="1"/>
    <col min="10" max="10" width="14" hidden="1" customWidth="1" outlineLevel="1"/>
    <col min="11" max="11" width="14.7109375" hidden="1" customWidth="1" outlineLevel="1"/>
    <col min="12" max="12" width="14.28515625" hidden="1" customWidth="1" outlineLevel="1"/>
    <col min="13" max="13" width="14" hidden="1" customWidth="1" outlineLevel="1"/>
    <col min="14" max="14" width="14.28515625" bestFit="1" customWidth="1" collapsed="1"/>
    <col min="15" max="15" width="14.7109375" bestFit="1" customWidth="1"/>
    <col min="16" max="17" width="14" bestFit="1" customWidth="1"/>
    <col min="18" max="18" width="14.7109375" bestFit="1" customWidth="1"/>
    <col min="19" max="19" width="13.5703125" bestFit="1" customWidth="1"/>
    <col min="20" max="20" width="14.28515625" bestFit="1" customWidth="1"/>
    <col min="21" max="21" width="14.7109375" bestFit="1" customWidth="1"/>
    <col min="22" max="23" width="14.28515625" bestFit="1" customWidth="1"/>
    <col min="24" max="25" width="14.7109375" bestFit="1" customWidth="1"/>
    <col min="26" max="26" width="14.28515625" bestFit="1" customWidth="1"/>
    <col min="27" max="27" width="12.140625" bestFit="1" customWidth="1"/>
    <col min="28" max="28" width="7.7109375" bestFit="1" customWidth="1"/>
    <col min="29" max="29" width="11.140625" bestFit="1" customWidth="1"/>
  </cols>
  <sheetData>
    <row r="1" spans="1:29" x14ac:dyDescent="0.25">
      <c r="A1" s="1" t="s">
        <v>62</v>
      </c>
    </row>
    <row r="2" spans="1:29" x14ac:dyDescent="0.25">
      <c r="A2" s="1" t="s">
        <v>1</v>
      </c>
    </row>
    <row r="3" spans="1:29" x14ac:dyDescent="0.25">
      <c r="A3" s="12" t="s">
        <v>2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</v>
      </c>
      <c r="O3" s="12">
        <v>2</v>
      </c>
      <c r="P3" s="12">
        <v>3</v>
      </c>
      <c r="Q3" s="12">
        <v>4</v>
      </c>
      <c r="R3" s="12">
        <v>5</v>
      </c>
      <c r="S3" s="12">
        <v>6</v>
      </c>
      <c r="T3" s="12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</row>
    <row r="4" spans="1:29" x14ac:dyDescent="0.25">
      <c r="A4" s="13" t="s">
        <v>41</v>
      </c>
      <c r="B4" s="6">
        <v>66153.392857142855</v>
      </c>
      <c r="C4" s="6">
        <v>743314.10714285704</v>
      </c>
      <c r="D4" s="6">
        <v>3665523.0357142854</v>
      </c>
      <c r="E4" s="6">
        <v>1640.8124999999998</v>
      </c>
      <c r="F4" s="6">
        <v>135640.5</v>
      </c>
      <c r="G4" s="6">
        <v>1858493.625</v>
      </c>
      <c r="H4" s="6">
        <v>1403441.625</v>
      </c>
      <c r="I4" s="6">
        <v>2367145.5</v>
      </c>
      <c r="J4" s="6">
        <v>814936.875</v>
      </c>
      <c r="K4" s="6">
        <v>1827865.1249999998</v>
      </c>
      <c r="L4" s="6">
        <v>473794.17857142858</v>
      </c>
      <c r="M4" s="6">
        <v>247762.6875</v>
      </c>
      <c r="N4" s="6">
        <v>911271.02678571432</v>
      </c>
      <c r="O4" s="6">
        <v>2146163.3571428573</v>
      </c>
      <c r="P4" s="6">
        <v>2204763.5089285714</v>
      </c>
      <c r="Q4" s="6">
        <v>326870.57142857148</v>
      </c>
      <c r="R4" s="6">
        <v>3811697.9464285709</v>
      </c>
      <c r="S4" s="6">
        <v>2468733</v>
      </c>
      <c r="T4" s="6">
        <v>1510701.1607142854</v>
      </c>
      <c r="U4" s="6">
        <v>373169.63392857136</v>
      </c>
      <c r="V4" s="6">
        <v>1648868.4910714282</v>
      </c>
      <c r="W4" s="6">
        <v>219347.35714285716</v>
      </c>
      <c r="X4" s="6">
        <v>488810.07142857142</v>
      </c>
      <c r="Y4" s="16">
        <v>390846.88392857142</v>
      </c>
      <c r="Z4" s="16">
        <v>300527.38392857136</v>
      </c>
      <c r="AA4" s="6">
        <f>SUM(U4:Z4)/6</f>
        <v>570261.63690476178</v>
      </c>
      <c r="AB4" s="17">
        <f>Y4/AA4-1</f>
        <v>-0.31461831090376158</v>
      </c>
      <c r="AC4" s="20">
        <f>Z4-AA4</f>
        <v>-269734.25297619042</v>
      </c>
    </row>
    <row r="5" spans="1:29" x14ac:dyDescent="0.25">
      <c r="A5" s="13" t="s">
        <v>44</v>
      </c>
      <c r="B5" s="6">
        <v>757270.68749999988</v>
      </c>
      <c r="C5" s="6">
        <v>371191.66071428568</v>
      </c>
      <c r="D5" s="6">
        <v>416846.24999999994</v>
      </c>
      <c r="E5" s="6">
        <v>139941.24107142855</v>
      </c>
      <c r="F5" s="6">
        <v>237205.36607142858</v>
      </c>
      <c r="G5" s="6">
        <v>364488.29464285704</v>
      </c>
      <c r="H5" s="6">
        <v>280203.07142857136</v>
      </c>
      <c r="I5" s="6">
        <v>764300.75892857125</v>
      </c>
      <c r="J5" s="6">
        <v>185595.83035714284</v>
      </c>
      <c r="K5" s="6">
        <v>415853.75892857142</v>
      </c>
      <c r="L5" s="6">
        <v>207430.63392857142</v>
      </c>
      <c r="M5" s="6">
        <v>344302.26785714284</v>
      </c>
      <c r="N5" s="6">
        <v>379082.81249999994</v>
      </c>
      <c r="O5" s="6">
        <v>282843.6964285713</v>
      </c>
      <c r="P5" s="6">
        <v>324495.80357142852</v>
      </c>
      <c r="Q5" s="6">
        <v>253047.28571428571</v>
      </c>
      <c r="R5" s="6">
        <v>253079.80357142855</v>
      </c>
      <c r="S5" s="6">
        <v>332376.11607142852</v>
      </c>
      <c r="T5" s="6">
        <v>608397.0267857142</v>
      </c>
      <c r="U5" s="6">
        <v>315471.24999999994</v>
      </c>
      <c r="V5" s="6">
        <v>485322.71428571414</v>
      </c>
      <c r="W5" s="6">
        <v>288814.90178571426</v>
      </c>
      <c r="X5" s="6">
        <v>306213.58035714272</v>
      </c>
      <c r="Y5" s="16">
        <v>374169.13392857136</v>
      </c>
      <c r="Z5" s="16">
        <v>446620.98214285716</v>
      </c>
      <c r="AA5" s="6">
        <f t="shared" ref="AA5:AA21" si="0">SUM(U5:Z5)/6</f>
        <v>369435.42708333326</v>
      </c>
      <c r="AB5" s="17">
        <f t="shared" ref="AB5:AB21" si="1">Y5/AA5-1</f>
        <v>1.2813353831846674E-2</v>
      </c>
      <c r="AC5" s="20">
        <f t="shared" ref="AC5:AC21" si="2">Z5-AA5</f>
        <v>77185.555059523904</v>
      </c>
    </row>
    <row r="6" spans="1:29" x14ac:dyDescent="0.25">
      <c r="A6" s="13" t="s">
        <v>10</v>
      </c>
      <c r="B6" s="6">
        <v>2066497.0178571427</v>
      </c>
      <c r="C6" s="6">
        <v>41618.57142857142</v>
      </c>
      <c r="D6" s="6">
        <v>232247.51785714284</v>
      </c>
      <c r="E6" s="6">
        <v>152752.18749999997</v>
      </c>
      <c r="F6" s="6">
        <v>186312.625</v>
      </c>
      <c r="G6" s="6">
        <v>302529.42857142858</v>
      </c>
      <c r="H6" s="6">
        <v>172756.43749999997</v>
      </c>
      <c r="I6" s="6">
        <v>813657.0625</v>
      </c>
      <c r="J6" s="6">
        <v>134280.5</v>
      </c>
      <c r="K6" s="6">
        <v>485590</v>
      </c>
      <c r="L6" s="6">
        <v>232885</v>
      </c>
      <c r="M6" s="6">
        <v>-18876.374999999996</v>
      </c>
      <c r="N6" s="6">
        <v>1428031</v>
      </c>
      <c r="O6" s="6">
        <v>-19324.499999999942</v>
      </c>
      <c r="P6" s="6">
        <v>336579.73214285704</v>
      </c>
      <c r="Q6" s="6">
        <v>327399.19642857136</v>
      </c>
      <c r="R6" s="6">
        <v>-30674.196428571424</v>
      </c>
      <c r="S6" s="6">
        <v>865220.29464285716</v>
      </c>
      <c r="T6" s="6">
        <v>770675.01785714284</v>
      </c>
      <c r="U6" s="6">
        <v>298113.07142857136</v>
      </c>
      <c r="V6" s="6">
        <v>696760.42857142841</v>
      </c>
      <c r="W6" s="6">
        <v>316771.96428571426</v>
      </c>
      <c r="X6" s="6">
        <v>471172.58928571426</v>
      </c>
      <c r="Y6" s="16">
        <v>465226.55357142852</v>
      </c>
      <c r="Z6" s="16">
        <v>651397.7142857142</v>
      </c>
      <c r="AA6" s="6">
        <f t="shared" si="0"/>
        <v>483240.38690476184</v>
      </c>
      <c r="AB6" s="17">
        <f t="shared" si="1"/>
        <v>-3.7277168509683212E-2</v>
      </c>
      <c r="AC6" s="20">
        <f t="shared" si="2"/>
        <v>168157.32738095237</v>
      </c>
    </row>
    <row r="7" spans="1:29" x14ac:dyDescent="0.25">
      <c r="A7" s="13" t="s">
        <v>47</v>
      </c>
      <c r="B7" s="6">
        <v>589275</v>
      </c>
      <c r="C7" s="6">
        <v>324257.14285714278</v>
      </c>
      <c r="D7" s="6">
        <v>481708.92857142852</v>
      </c>
      <c r="E7" s="6">
        <v>238516.07142857142</v>
      </c>
      <c r="F7" s="6">
        <v>430264.28571428562</v>
      </c>
      <c r="G7" s="6">
        <v>595510.71428571432</v>
      </c>
      <c r="H7" s="6">
        <v>660985.7142857142</v>
      </c>
      <c r="I7" s="6">
        <v>1223758.9285714284</v>
      </c>
      <c r="J7" s="6">
        <v>285476.78571428568</v>
      </c>
      <c r="K7" s="6">
        <v>659137.5</v>
      </c>
      <c r="L7" s="6">
        <v>310885.71428571426</v>
      </c>
      <c r="M7" s="6">
        <v>878849.99999999988</v>
      </c>
      <c r="N7" s="6">
        <v>787676.78571428568</v>
      </c>
      <c r="O7" s="6">
        <v>394585.7142857142</v>
      </c>
      <c r="P7" s="6">
        <v>699492.85714285704</v>
      </c>
      <c r="Q7" s="6">
        <v>557501.78571428568</v>
      </c>
      <c r="R7" s="6">
        <v>635223.21428571432</v>
      </c>
      <c r="S7" s="6">
        <v>931162.5</v>
      </c>
      <c r="T7" s="6">
        <v>1267457.1428571427</v>
      </c>
      <c r="U7" s="6">
        <v>768246.42857142852</v>
      </c>
      <c r="V7" s="6">
        <v>1213649.9999999998</v>
      </c>
      <c r="W7" s="6">
        <v>675578.57142857136</v>
      </c>
      <c r="X7" s="6">
        <v>652773.2142857142</v>
      </c>
      <c r="Y7" s="16">
        <v>711321.42857142841</v>
      </c>
      <c r="Z7" s="16">
        <v>1204682.1428571427</v>
      </c>
      <c r="AA7" s="6">
        <f t="shared" si="0"/>
        <v>871041.96428571409</v>
      </c>
      <c r="AB7" s="17">
        <f t="shared" si="1"/>
        <v>-0.18336721106802512</v>
      </c>
      <c r="AC7" s="20">
        <f t="shared" si="2"/>
        <v>333640.17857142864</v>
      </c>
    </row>
    <row r="8" spans="1:29" x14ac:dyDescent="0.25">
      <c r="A8" s="13" t="s">
        <v>49</v>
      </c>
      <c r="B8" s="6">
        <v>609465.03571428568</v>
      </c>
      <c r="C8" s="6">
        <v>167759.11607142855</v>
      </c>
      <c r="D8" s="6">
        <v>261734.16964285713</v>
      </c>
      <c r="E8" s="6">
        <v>-2756.4999999999991</v>
      </c>
      <c r="F8" s="6">
        <v>181315.81249999997</v>
      </c>
      <c r="G8" s="6">
        <v>233090.38392857139</v>
      </c>
      <c r="H8" s="6">
        <v>189495.47321428571</v>
      </c>
      <c r="I8" s="6">
        <v>352909.00892857142</v>
      </c>
      <c r="J8" s="6">
        <v>87234.16071428571</v>
      </c>
      <c r="K8" s="6">
        <v>276743.375</v>
      </c>
      <c r="L8" s="6">
        <v>119967.57142857142</v>
      </c>
      <c r="M8" s="6">
        <v>-27776.892857142851</v>
      </c>
      <c r="N8" s="6">
        <v>453494.20535714284</v>
      </c>
      <c r="O8" s="6">
        <v>121274.48214285713</v>
      </c>
      <c r="P8" s="6"/>
      <c r="Q8" s="6">
        <v>245388.21428571426</v>
      </c>
      <c r="R8" s="6">
        <v>158139.07142857142</v>
      </c>
      <c r="S8" s="6">
        <v>125420.33928571429</v>
      </c>
      <c r="T8" s="6">
        <v>301282.19642857142</v>
      </c>
      <c r="U8" s="6">
        <v>193688.88392857139</v>
      </c>
      <c r="V8" s="6">
        <v>220532.20535714278</v>
      </c>
      <c r="W8" s="6">
        <v>150064.28571428571</v>
      </c>
      <c r="X8" s="6">
        <v>149959.43749999997</v>
      </c>
      <c r="Y8" s="16">
        <v>163592.14285714284</v>
      </c>
      <c r="Z8" s="16">
        <v>245389.82142857139</v>
      </c>
      <c r="AA8" s="6">
        <f t="shared" si="0"/>
        <v>187204.46279761902</v>
      </c>
      <c r="AB8" s="17">
        <f t="shared" si="1"/>
        <v>-0.1261311807828146</v>
      </c>
      <c r="AC8" s="20">
        <f t="shared" si="2"/>
        <v>58185.358630952367</v>
      </c>
    </row>
    <row r="9" spans="1:29" x14ac:dyDescent="0.25">
      <c r="A9" s="13" t="s">
        <v>13</v>
      </c>
      <c r="B9" s="6">
        <v>1341722.5625</v>
      </c>
      <c r="C9" s="6">
        <v>94397.366071428594</v>
      </c>
      <c r="D9" s="6">
        <v>148155.86607142855</v>
      </c>
      <c r="E9" s="6">
        <v>57118.48214285713</v>
      </c>
      <c r="F9" s="6">
        <v>168331.52678571426</v>
      </c>
      <c r="G9" s="6">
        <v>199194.73214285713</v>
      </c>
      <c r="H9" s="6">
        <v>161559.66964285713</v>
      </c>
      <c r="I9" s="6">
        <v>431124.54464285716</v>
      </c>
      <c r="J9" s="6">
        <v>104205.23214285712</v>
      </c>
      <c r="K9" s="6">
        <v>296008.13392857142</v>
      </c>
      <c r="L9" s="6">
        <v>137084.35714285713</v>
      </c>
      <c r="M9" s="6">
        <v>406885.18749999994</v>
      </c>
      <c r="N9" s="6">
        <v>279944.65178571426</v>
      </c>
      <c r="O9" s="6">
        <v>234697.78571428571</v>
      </c>
      <c r="P9" s="6">
        <v>-48958.63392857142</v>
      </c>
      <c r="Q9" s="6">
        <v>358502.47321428562</v>
      </c>
      <c r="R9" s="6">
        <v>-280312.17857142858</v>
      </c>
      <c r="S9" s="6">
        <v>453929.07142857136</v>
      </c>
      <c r="T9" s="6">
        <v>422583.57142857142</v>
      </c>
      <c r="U9" s="6">
        <v>272488.75892857136</v>
      </c>
      <c r="V9" s="6">
        <v>361190.40178571426</v>
      </c>
      <c r="W9" s="6">
        <v>177403.28571428571</v>
      </c>
      <c r="X9" s="6">
        <v>199578.69642857142</v>
      </c>
      <c r="Y9" s="16">
        <v>196218.78571428571</v>
      </c>
      <c r="Z9" s="16">
        <v>382032</v>
      </c>
      <c r="AA9" s="6">
        <f t="shared" si="0"/>
        <v>264818.65476190473</v>
      </c>
      <c r="AB9" s="17">
        <f t="shared" si="1"/>
        <v>-0.25904470026590964</v>
      </c>
      <c r="AC9" s="20">
        <f t="shared" si="2"/>
        <v>117213.34523809527</v>
      </c>
    </row>
    <row r="10" spans="1:29" x14ac:dyDescent="0.25">
      <c r="A10" s="13" t="s">
        <v>50</v>
      </c>
      <c r="B10" s="6">
        <v>112141.07142857141</v>
      </c>
      <c r="C10" s="6">
        <v>63886.428571428565</v>
      </c>
      <c r="D10" s="6">
        <v>118257.85714285713</v>
      </c>
      <c r="E10" s="6">
        <v>85635</v>
      </c>
      <c r="F10" s="6">
        <v>191659.28571428571</v>
      </c>
      <c r="G10" s="6">
        <v>46215.714285714261</v>
      </c>
      <c r="H10" s="6">
        <v>171949.64285714284</v>
      </c>
      <c r="I10" s="6">
        <v>286129.64285714278</v>
      </c>
      <c r="J10" s="6">
        <v>115539.2857142857</v>
      </c>
      <c r="K10" s="6">
        <v>154958.57142857142</v>
      </c>
      <c r="L10" s="6">
        <v>101266.78571428571</v>
      </c>
      <c r="M10" s="6">
        <v>99907.571428571391</v>
      </c>
      <c r="N10" s="6">
        <v>140686.07142857142</v>
      </c>
      <c r="O10" s="6">
        <v>44856.428571428565</v>
      </c>
      <c r="P10" s="6">
        <v>16413.374999999996</v>
      </c>
      <c r="Q10" s="6"/>
      <c r="R10" s="6">
        <v>154142.99999999997</v>
      </c>
      <c r="S10" s="6">
        <v>115607.25</v>
      </c>
      <c r="T10" s="6">
        <v>60386.267857142855</v>
      </c>
      <c r="U10" s="6">
        <v>92941.16071428571</v>
      </c>
      <c r="V10" s="6">
        <v>114180</v>
      </c>
      <c r="W10" s="6">
        <v>27083.767857142848</v>
      </c>
      <c r="X10" s="6">
        <v>56308.410714285717</v>
      </c>
      <c r="Y10" s="16">
        <v>63240.767857142855</v>
      </c>
      <c r="Z10" s="16">
        <v>102048.375</v>
      </c>
      <c r="AA10" s="6">
        <f t="shared" si="0"/>
        <v>75967.080357142855</v>
      </c>
      <c r="AB10" s="17">
        <f t="shared" si="1"/>
        <v>-0.16752404383806752</v>
      </c>
      <c r="AC10" s="20">
        <f t="shared" si="2"/>
        <v>26081.294642857145</v>
      </c>
    </row>
    <row r="11" spans="1:29" x14ac:dyDescent="0.25">
      <c r="A11" s="13" t="s">
        <v>51</v>
      </c>
      <c r="B11" s="6">
        <v>475142.69642857148</v>
      </c>
      <c r="C11" s="6">
        <v>97126.09821428571</v>
      </c>
      <c r="D11" s="6">
        <v>156860.92857142855</v>
      </c>
      <c r="E11" s="6">
        <v>69425.22321428571</v>
      </c>
      <c r="F11" s="6">
        <v>116697.95535714286</v>
      </c>
      <c r="G11" s="6">
        <v>169409.22321428571</v>
      </c>
      <c r="H11" s="6">
        <v>142724.66071428571</v>
      </c>
      <c r="I11" s="6">
        <v>226948.66071428568</v>
      </c>
      <c r="J11" s="6">
        <v>86661.830357142841</v>
      </c>
      <c r="K11" s="6">
        <v>164496.97321428568</v>
      </c>
      <c r="L11" s="6">
        <v>69516.57142857142</v>
      </c>
      <c r="M11" s="6"/>
      <c r="N11" s="6">
        <v>381120.53571428568</v>
      </c>
      <c r="O11" s="6">
        <v>67557.535714285681</v>
      </c>
      <c r="P11" s="6">
        <v>-12613.187499999998</v>
      </c>
      <c r="Q11" s="6">
        <v>184502.69642857139</v>
      </c>
      <c r="R11" s="6">
        <v>117136.58928571426</v>
      </c>
      <c r="S11" s="6">
        <v>122666.64285714284</v>
      </c>
      <c r="T11" s="6">
        <v>192546.41071428568</v>
      </c>
      <c r="U11" s="6">
        <v>132636.77678571426</v>
      </c>
      <c r="V11" s="6">
        <v>171431.66071428571</v>
      </c>
      <c r="W11" s="6">
        <v>89023.214285714275</v>
      </c>
      <c r="X11" s="6">
        <v>135873.26785714284</v>
      </c>
      <c r="Y11" s="16">
        <v>99199.50892857142</v>
      </c>
      <c r="Z11" s="16">
        <v>192549.83035714284</v>
      </c>
      <c r="AA11" s="6">
        <f t="shared" si="0"/>
        <v>136785.70982142855</v>
      </c>
      <c r="AB11" s="17">
        <f t="shared" si="1"/>
        <v>-0.27478163429443969</v>
      </c>
      <c r="AC11" s="20">
        <f t="shared" si="2"/>
        <v>55764.12053571429</v>
      </c>
    </row>
    <row r="12" spans="1:29" x14ac:dyDescent="0.25">
      <c r="A12" s="13" t="s">
        <v>52</v>
      </c>
      <c r="B12" s="6">
        <v>38458.517857142855</v>
      </c>
      <c r="C12" s="6"/>
      <c r="D12" s="6">
        <v>0</v>
      </c>
      <c r="E12" s="6">
        <v>6192.4732142857119</v>
      </c>
      <c r="F12" s="6">
        <v>19881.098214285714</v>
      </c>
      <c r="G12" s="6">
        <v>30636.446428571424</v>
      </c>
      <c r="H12" s="6">
        <v>31288.28571428571</v>
      </c>
      <c r="I12" s="6">
        <v>53124.901785714283</v>
      </c>
      <c r="J12" s="6">
        <v>18251.499999999996</v>
      </c>
      <c r="K12" s="6">
        <v>17273.741071428569</v>
      </c>
      <c r="L12" s="6">
        <v>31940.124999999996</v>
      </c>
      <c r="M12" s="6">
        <v>-2281</v>
      </c>
      <c r="N12" s="6">
        <v>41065.874999999993</v>
      </c>
      <c r="O12" s="6">
        <v>14014.544642857139</v>
      </c>
      <c r="P12" s="6">
        <v>-9981.2857142857156</v>
      </c>
      <c r="Q12" s="6">
        <v>-13362.705357142857</v>
      </c>
      <c r="R12" s="6">
        <v>16947.821428571428</v>
      </c>
      <c r="S12" s="6"/>
      <c r="T12" s="6">
        <v>11733.107142857143</v>
      </c>
      <c r="U12" s="6">
        <v>22162.53571428571</v>
      </c>
      <c r="V12" s="6">
        <v>14992.303571428571</v>
      </c>
      <c r="W12" s="6">
        <v>10103.508928571428</v>
      </c>
      <c r="X12" s="6">
        <v>-4562.875</v>
      </c>
      <c r="Y12" s="16">
        <v>7822.0714285714303</v>
      </c>
      <c r="Z12" s="16">
        <v>21184.776785714283</v>
      </c>
      <c r="AA12" s="6">
        <f t="shared" si="0"/>
        <v>11950.386904761903</v>
      </c>
      <c r="AB12" s="17">
        <f t="shared" si="1"/>
        <v>-0.34545454545454524</v>
      </c>
      <c r="AC12" s="20">
        <f t="shared" si="2"/>
        <v>9234.3898809523798</v>
      </c>
    </row>
    <row r="13" spans="1:29" x14ac:dyDescent="0.25">
      <c r="A13" s="13" t="s">
        <v>18</v>
      </c>
      <c r="B13" s="6"/>
      <c r="C13" s="6"/>
      <c r="D13" s="6"/>
      <c r="E13" s="6"/>
      <c r="F13" s="6"/>
      <c r="G13" s="6">
        <v>445499.99999999988</v>
      </c>
      <c r="H13" s="6">
        <v>107839.28571428571</v>
      </c>
      <c r="I13" s="6">
        <v>84857.142857142841</v>
      </c>
      <c r="J13" s="6">
        <v>28285.714285714283</v>
      </c>
      <c r="K13" s="6">
        <v>53035.714285714275</v>
      </c>
      <c r="L13" s="6">
        <v>21214.285714285714</v>
      </c>
      <c r="M13" s="6">
        <v>-84857.28571428571</v>
      </c>
      <c r="N13" s="6">
        <v>30053.571428571424</v>
      </c>
      <c r="O13" s="6">
        <v>-83089.28571428571</v>
      </c>
      <c r="P13" s="6">
        <v>-7071.4285714285706</v>
      </c>
      <c r="Q13" s="6">
        <v>-22982.142857142855</v>
      </c>
      <c r="R13" s="6">
        <v>-31821.428571428569</v>
      </c>
      <c r="S13" s="6">
        <v>-1767.8571428571427</v>
      </c>
      <c r="T13" s="6">
        <v>-1767.8571428571427</v>
      </c>
      <c r="U13" s="6">
        <v>263410.71428571426</v>
      </c>
      <c r="V13" s="6">
        <v>351803.57142857136</v>
      </c>
      <c r="W13" s="6">
        <v>143196.42857142855</v>
      </c>
      <c r="X13" s="6"/>
      <c r="Y13" s="16">
        <v>189160.71428571423</v>
      </c>
      <c r="Z13" s="16">
        <v>205071.42857142852</v>
      </c>
      <c r="AA13" s="6">
        <f t="shared" si="0"/>
        <v>192107.14285714281</v>
      </c>
      <c r="AB13" s="17">
        <f t="shared" si="1"/>
        <v>-1.5337423312883458E-2</v>
      </c>
      <c r="AC13" s="20">
        <f t="shared" si="2"/>
        <v>12964.28571428571</v>
      </c>
    </row>
    <row r="14" spans="1:29" x14ac:dyDescent="0.25">
      <c r="A14" s="13" t="s">
        <v>53</v>
      </c>
      <c r="B14" s="6">
        <v>786324.21428571409</v>
      </c>
      <c r="C14" s="6">
        <v>225002.41071428571</v>
      </c>
      <c r="D14" s="6">
        <v>149212.12499999997</v>
      </c>
      <c r="E14" s="6">
        <v>56842.714285714283</v>
      </c>
      <c r="F14" s="6">
        <v>20941.8125</v>
      </c>
      <c r="G14" s="6">
        <v>30183.883928571428</v>
      </c>
      <c r="H14" s="6">
        <v>126226.4375</v>
      </c>
      <c r="I14" s="6">
        <v>206230.83928571429</v>
      </c>
      <c r="J14" s="6">
        <v>87632.517857142855</v>
      </c>
      <c r="K14" s="6">
        <v>162238.58035714284</v>
      </c>
      <c r="L14" s="6">
        <v>91185.1875</v>
      </c>
      <c r="M14" s="6">
        <v>-20524.017857142855</v>
      </c>
      <c r="N14" s="6">
        <v>294127.35714285704</v>
      </c>
      <c r="O14" s="6">
        <v>144519.23214285713</v>
      </c>
      <c r="P14" s="6"/>
      <c r="Q14" s="6">
        <v>112501.20535714284</v>
      </c>
      <c r="R14" s="6">
        <v>55574.267857142855</v>
      </c>
      <c r="S14" s="6">
        <v>116097.875</v>
      </c>
      <c r="T14" s="6">
        <v>185618.82142857145</v>
      </c>
      <c r="U14" s="6">
        <v>153949.01785714284</v>
      </c>
      <c r="V14" s="6">
        <v>158685.91071428571</v>
      </c>
      <c r="W14" s="6">
        <v>85412.392857142855</v>
      </c>
      <c r="X14" s="6">
        <v>123203.21428571428</v>
      </c>
      <c r="Y14" s="16">
        <v>123643.21428571428</v>
      </c>
      <c r="Z14" s="16">
        <v>151580.57142857142</v>
      </c>
      <c r="AA14" s="6">
        <f t="shared" si="0"/>
        <v>132745.72023809524</v>
      </c>
      <c r="AB14" s="17">
        <f t="shared" si="1"/>
        <v>-6.8570993746951192E-2</v>
      </c>
      <c r="AC14" s="20">
        <f t="shared" si="2"/>
        <v>18834.851190476184</v>
      </c>
    </row>
    <row r="15" spans="1:29" x14ac:dyDescent="0.25">
      <c r="A15" s="13" t="s">
        <v>20</v>
      </c>
      <c r="B15" s="6">
        <v>6368.9107142857138</v>
      </c>
      <c r="C15" s="6">
        <v>6524.2499999999982</v>
      </c>
      <c r="D15" s="6">
        <v>466.01785714285762</v>
      </c>
      <c r="E15" s="6">
        <v>776.69642857142867</v>
      </c>
      <c r="F15" s="6">
        <v>4038.821428571428</v>
      </c>
      <c r="G15" s="6">
        <v>3106.7857142857138</v>
      </c>
      <c r="H15" s="6">
        <v>2951.4464285714271</v>
      </c>
      <c r="I15" s="6">
        <v>10252.392857142857</v>
      </c>
      <c r="J15" s="6">
        <v>1398.0535714285711</v>
      </c>
      <c r="K15" s="6">
        <v>17242.660714285714</v>
      </c>
      <c r="L15" s="6">
        <v>5436.875</v>
      </c>
      <c r="M15" s="6">
        <v>-4349.5</v>
      </c>
      <c r="N15" s="6">
        <v>-466.01785714285717</v>
      </c>
      <c r="O15" s="6">
        <v>-1087.3749999999998</v>
      </c>
      <c r="P15" s="6"/>
      <c r="Q15" s="6"/>
      <c r="R15" s="6"/>
      <c r="S15" s="6"/>
      <c r="T15" s="6">
        <v>-8077.6428571428569</v>
      </c>
      <c r="U15" s="6">
        <v>-2640.7678571428569</v>
      </c>
      <c r="V15" s="6"/>
      <c r="W15" s="6"/>
      <c r="X15" s="6">
        <v>-1708.7321428571427</v>
      </c>
      <c r="Y15" s="16">
        <v>14757.232142857141</v>
      </c>
      <c r="Z15" s="16">
        <v>13359.178571428569</v>
      </c>
      <c r="AA15" s="6">
        <f t="shared" si="0"/>
        <v>3961.1517857142849</v>
      </c>
      <c r="AB15" s="17">
        <f t="shared" si="1"/>
        <v>2.7254901960784319</v>
      </c>
      <c r="AC15" s="20">
        <f t="shared" si="2"/>
        <v>9398.0267857142844</v>
      </c>
    </row>
    <row r="16" spans="1:29" x14ac:dyDescent="0.25">
      <c r="A16" s="13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>
        <v>261996.42857142852</v>
      </c>
      <c r="M16" s="6"/>
      <c r="N16" s="6"/>
      <c r="O16" s="6"/>
      <c r="P16" s="6"/>
      <c r="Q16" s="6">
        <v>-24749.999999999996</v>
      </c>
      <c r="R16" s="6">
        <v>-32174.999999999996</v>
      </c>
      <c r="S16" s="6"/>
      <c r="T16" s="6"/>
      <c r="U16" s="6"/>
      <c r="V16" s="6"/>
      <c r="W16" s="6">
        <v>33447.857142857145</v>
      </c>
      <c r="X16" s="6">
        <v>165206.25</v>
      </c>
      <c r="Y16" s="16">
        <v>36382.499999999993</v>
      </c>
      <c r="Z16" s="16">
        <v>56058.749999999993</v>
      </c>
      <c r="AA16" s="6">
        <f t="shared" si="0"/>
        <v>48515.892857142862</v>
      </c>
      <c r="AB16" s="17">
        <f t="shared" si="1"/>
        <v>-0.25009109680553887</v>
      </c>
      <c r="AC16" s="20">
        <f t="shared" si="2"/>
        <v>7542.8571428571304</v>
      </c>
    </row>
    <row r="17" spans="1:29" x14ac:dyDescent="0.25">
      <c r="A17" s="13" t="s">
        <v>54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577500</v>
      </c>
      <c r="T17" s="6">
        <v>565714.28571428568</v>
      </c>
      <c r="U17" s="6">
        <v>-55982.142857142855</v>
      </c>
      <c r="V17" s="6"/>
      <c r="W17" s="6"/>
      <c r="X17" s="6"/>
      <c r="Y17" s="16"/>
      <c r="Z17" s="16"/>
      <c r="AA17" s="6">
        <f t="shared" si="0"/>
        <v>-9330.3571428571431</v>
      </c>
      <c r="AB17" s="17">
        <f t="shared" si="1"/>
        <v>-1</v>
      </c>
      <c r="AC17" s="20">
        <f t="shared" si="2"/>
        <v>9330.3571428571431</v>
      </c>
    </row>
    <row r="18" spans="1:29" x14ac:dyDescent="0.25">
      <c r="A18" s="13" t="s">
        <v>26</v>
      </c>
      <c r="B18" s="6"/>
      <c r="C18" s="6"/>
      <c r="D18" s="6"/>
      <c r="E18" s="6"/>
      <c r="F18" s="6"/>
      <c r="G18" s="6"/>
      <c r="H18" s="6"/>
      <c r="I18" s="6"/>
      <c r="J18" s="6"/>
      <c r="K18" s="6">
        <v>-1039.3303571428571</v>
      </c>
      <c r="L18" s="6">
        <v>-831.46428571428567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6"/>
      <c r="Z18" s="16">
        <v>2512.1875</v>
      </c>
      <c r="AA18" s="6">
        <f t="shared" si="0"/>
        <v>418.69791666666669</v>
      </c>
      <c r="AB18" s="17">
        <f t="shared" si="1"/>
        <v>-1</v>
      </c>
      <c r="AC18" s="20">
        <f t="shared" si="2"/>
        <v>2093.4895833333335</v>
      </c>
    </row>
    <row r="19" spans="1:29" x14ac:dyDescent="0.25">
      <c r="A19" s="13" t="s">
        <v>28</v>
      </c>
      <c r="B19" s="6">
        <v>39476.249999999993</v>
      </c>
      <c r="C19" s="6">
        <v>8254.1249999999982</v>
      </c>
      <c r="D19" s="6">
        <v>13637.249999999998</v>
      </c>
      <c r="E19" s="6">
        <v>5383.125</v>
      </c>
      <c r="F19" s="6">
        <v>15790.5</v>
      </c>
      <c r="G19" s="6">
        <v>14713.875</v>
      </c>
      <c r="H19" s="6">
        <v>717.74999999999989</v>
      </c>
      <c r="I19" s="6">
        <v>19379.25</v>
      </c>
      <c r="J19" s="6">
        <v>6818.6249999999991</v>
      </c>
      <c r="K19" s="6">
        <v>13637.25</v>
      </c>
      <c r="L19" s="6">
        <v>13278.374999999998</v>
      </c>
      <c r="M19" s="6"/>
      <c r="N19" s="6">
        <v>28710</v>
      </c>
      <c r="O19" s="6">
        <v>11842.874999999998</v>
      </c>
      <c r="P19" s="6"/>
      <c r="Q19" s="6"/>
      <c r="R19" s="6"/>
      <c r="S19" s="6">
        <v>-5024.2499999999991</v>
      </c>
      <c r="T19" s="6">
        <v>-358.87499999999994</v>
      </c>
      <c r="U19" s="6"/>
      <c r="V19" s="6"/>
      <c r="W19" s="6"/>
      <c r="X19" s="6"/>
      <c r="Y19" s="16">
        <v>14355</v>
      </c>
      <c r="Z19" s="16"/>
      <c r="AA19" s="6">
        <f t="shared" si="0"/>
        <v>2392.5</v>
      </c>
      <c r="AB19" s="17">
        <f t="shared" si="1"/>
        <v>5</v>
      </c>
      <c r="AC19" s="20">
        <f t="shared" si="2"/>
        <v>-2392.5</v>
      </c>
    </row>
    <row r="20" spans="1:29" x14ac:dyDescent="0.25">
      <c r="A20" s="13" t="s">
        <v>32</v>
      </c>
      <c r="B20" s="6"/>
      <c r="C20" s="6"/>
      <c r="D20" s="6"/>
      <c r="E20" s="6">
        <v>-217.32142857142856</v>
      </c>
      <c r="F20" s="6">
        <v>-54.330357142857139</v>
      </c>
      <c r="G20" s="6">
        <v>-141.25892857142856</v>
      </c>
      <c r="H20" s="6"/>
      <c r="I20" s="6"/>
      <c r="J20" s="6"/>
      <c r="K20" s="6"/>
      <c r="L20" s="6"/>
      <c r="M20" s="6">
        <v>-1414.2857142857142</v>
      </c>
      <c r="N20" s="6"/>
      <c r="O20" s="6">
        <v>-795.53571428571422</v>
      </c>
      <c r="P20" s="6"/>
      <c r="Q20" s="6">
        <v>-1502.6785714285713</v>
      </c>
      <c r="R20" s="6">
        <v>-2916.9642857142853</v>
      </c>
      <c r="S20" s="6"/>
      <c r="T20" s="6"/>
      <c r="U20" s="6"/>
      <c r="V20" s="6"/>
      <c r="W20" s="6"/>
      <c r="X20" s="6"/>
      <c r="Y20" s="6"/>
      <c r="Z20" s="6"/>
      <c r="AA20" s="6">
        <f t="shared" si="0"/>
        <v>0</v>
      </c>
      <c r="AB20" s="17" t="e">
        <f t="shared" si="1"/>
        <v>#DIV/0!</v>
      </c>
      <c r="AC20" s="20">
        <f t="shared" si="2"/>
        <v>0</v>
      </c>
    </row>
    <row r="21" spans="1:29" x14ac:dyDescent="0.25">
      <c r="A21" s="14" t="s">
        <v>33</v>
      </c>
      <c r="B21" s="15">
        <v>6888295.3571428563</v>
      </c>
      <c r="C21" s="15">
        <v>2143331.2767857141</v>
      </c>
      <c r="D21" s="15">
        <v>5644649.94642857</v>
      </c>
      <c r="E21" s="15">
        <v>811250.20535714284</v>
      </c>
      <c r="F21" s="15">
        <v>1708025.2589285714</v>
      </c>
      <c r="G21" s="15">
        <v>4292931.8482142854</v>
      </c>
      <c r="H21" s="15">
        <v>3452139.5000000005</v>
      </c>
      <c r="I21" s="15">
        <v>6839818.6339285718</v>
      </c>
      <c r="J21" s="15">
        <v>1956316.9107142854</v>
      </c>
      <c r="K21" s="15">
        <v>4543042.0535714282</v>
      </c>
      <c r="L21" s="15">
        <v>2077050.6249999998</v>
      </c>
      <c r="M21" s="15">
        <v>1817628.3571428568</v>
      </c>
      <c r="N21" s="15">
        <f t="shared" ref="N21:Z21" si="3">SUM(N4:N20)</f>
        <v>5154797.8750000009</v>
      </c>
      <c r="O21" s="15">
        <f t="shared" si="3"/>
        <v>3358058.9553571427</v>
      </c>
      <c r="P21" s="15">
        <f t="shared" si="3"/>
        <v>3503120.7410714286</v>
      </c>
      <c r="Q21" s="15">
        <f t="shared" si="3"/>
        <v>2303115.9017857141</v>
      </c>
      <c r="R21" s="15">
        <f t="shared" si="3"/>
        <v>4824041.9464285728</v>
      </c>
      <c r="S21" s="15">
        <f t="shared" si="3"/>
        <v>6101920.9821428563</v>
      </c>
      <c r="T21" s="15">
        <f t="shared" si="3"/>
        <v>5886890.6339285709</v>
      </c>
      <c r="U21" s="15">
        <f t="shared" si="3"/>
        <v>2827655.3214285714</v>
      </c>
      <c r="V21" s="15">
        <f t="shared" si="3"/>
        <v>5437417.6874999981</v>
      </c>
      <c r="W21" s="15">
        <f t="shared" si="3"/>
        <v>2216247.5357142854</v>
      </c>
      <c r="X21" s="15">
        <f t="shared" si="3"/>
        <v>2742827.1249999995</v>
      </c>
      <c r="Y21" s="15">
        <f t="shared" si="3"/>
        <v>2849935.9374999995</v>
      </c>
      <c r="Z21" s="15">
        <f t="shared" si="3"/>
        <v>3975015.1428571423</v>
      </c>
      <c r="AA21" s="6">
        <f t="shared" si="0"/>
        <v>3341516.4583333326</v>
      </c>
      <c r="AB21" s="17">
        <f t="shared" si="1"/>
        <v>-0.14711300302214325</v>
      </c>
      <c r="AC21" s="20">
        <f t="shared" si="2"/>
        <v>633498.6845238097</v>
      </c>
    </row>
    <row r="23" spans="1:29" x14ac:dyDescent="0.25">
      <c r="A23" s="1" t="s">
        <v>62</v>
      </c>
    </row>
    <row r="24" spans="1:29" x14ac:dyDescent="0.25">
      <c r="A24" s="1" t="s">
        <v>34</v>
      </c>
    </row>
    <row r="25" spans="1:29" x14ac:dyDescent="0.25">
      <c r="A25" s="12" t="s">
        <v>2</v>
      </c>
      <c r="B25" s="12">
        <v>1</v>
      </c>
      <c r="C25" s="12">
        <v>2</v>
      </c>
      <c r="D25" s="12">
        <v>3</v>
      </c>
      <c r="E25" s="12">
        <v>4</v>
      </c>
      <c r="F25" s="12">
        <v>5</v>
      </c>
      <c r="G25" s="12">
        <v>6</v>
      </c>
      <c r="H25" s="12">
        <v>7</v>
      </c>
      <c r="I25" s="12">
        <v>8</v>
      </c>
      <c r="J25" s="12">
        <v>9</v>
      </c>
      <c r="K25" s="12">
        <v>10</v>
      </c>
      <c r="L25" s="12">
        <v>11</v>
      </c>
      <c r="M25" s="12">
        <v>12</v>
      </c>
      <c r="N25" s="12">
        <v>1</v>
      </c>
      <c r="O25" s="12">
        <v>2</v>
      </c>
      <c r="P25" s="12">
        <v>3</v>
      </c>
      <c r="Q25" s="12">
        <v>4</v>
      </c>
      <c r="R25" s="12">
        <v>5</v>
      </c>
      <c r="S25" s="12">
        <v>6</v>
      </c>
      <c r="T25" s="12">
        <v>7</v>
      </c>
      <c r="U25" s="3">
        <v>8</v>
      </c>
      <c r="V25" s="3">
        <v>9</v>
      </c>
      <c r="W25" s="3">
        <v>10</v>
      </c>
      <c r="X25" s="3">
        <v>11</v>
      </c>
      <c r="Y25" s="3">
        <v>12</v>
      </c>
      <c r="Z25" s="3">
        <v>1</v>
      </c>
      <c r="AA25" s="4" t="s">
        <v>3</v>
      </c>
      <c r="AB25" s="4" t="s">
        <v>4</v>
      </c>
      <c r="AC25" s="4" t="s">
        <v>5</v>
      </c>
    </row>
    <row r="26" spans="1:29" x14ac:dyDescent="0.25">
      <c r="A26" s="13" t="s">
        <v>41</v>
      </c>
      <c r="B26" s="6">
        <v>127</v>
      </c>
      <c r="C26" s="6">
        <v>1427</v>
      </c>
      <c r="D26" s="6">
        <v>7037</v>
      </c>
      <c r="E26" s="6">
        <v>3</v>
      </c>
      <c r="F26" s="6">
        <v>248</v>
      </c>
      <c r="G26" s="6">
        <v>3398</v>
      </c>
      <c r="H26" s="6">
        <v>2566</v>
      </c>
      <c r="I26" s="6">
        <v>4328</v>
      </c>
      <c r="J26" s="6">
        <v>1490</v>
      </c>
      <c r="K26" s="6">
        <v>3342</v>
      </c>
      <c r="L26" s="6">
        <v>866</v>
      </c>
      <c r="M26" s="6">
        <v>453</v>
      </c>
      <c r="N26" s="6">
        <v>1666</v>
      </c>
      <c r="O26" s="6">
        <v>3992</v>
      </c>
      <c r="P26" s="6">
        <v>4101</v>
      </c>
      <c r="Q26" s="6">
        <v>608</v>
      </c>
      <c r="R26" s="6">
        <v>7090</v>
      </c>
      <c r="S26" s="6">
        <v>4592</v>
      </c>
      <c r="T26" s="6">
        <v>2810</v>
      </c>
      <c r="U26" s="6">
        <v>694</v>
      </c>
      <c r="V26" s="6">
        <v>3067</v>
      </c>
      <c r="W26" s="6">
        <v>408</v>
      </c>
      <c r="X26" s="6">
        <v>909</v>
      </c>
      <c r="Y26" s="16">
        <v>727</v>
      </c>
      <c r="Z26" s="16">
        <v>559</v>
      </c>
      <c r="AA26" s="6">
        <f t="shared" ref="AA26:AA43" si="4">SUM(U26:Z26)/6</f>
        <v>1060.6666666666667</v>
      </c>
      <c r="AB26" s="17">
        <f t="shared" ref="AB26:AB43" si="5">Y26/AA26-1</f>
        <v>-0.31458202388434953</v>
      </c>
      <c r="AC26" s="20">
        <f t="shared" ref="AC26:AC43" si="6">Z26-AA26</f>
        <v>-501.66666666666674</v>
      </c>
    </row>
    <row r="27" spans="1:29" x14ac:dyDescent="0.25">
      <c r="A27" s="13" t="s">
        <v>44</v>
      </c>
      <c r="B27" s="6">
        <v>785</v>
      </c>
      <c r="C27" s="6">
        <v>374</v>
      </c>
      <c r="D27" s="6">
        <v>410</v>
      </c>
      <c r="E27" s="6">
        <v>141</v>
      </c>
      <c r="F27" s="6">
        <v>239</v>
      </c>
      <c r="G27" s="6">
        <v>367</v>
      </c>
      <c r="H27" s="6">
        <v>282</v>
      </c>
      <c r="I27" s="6">
        <v>770</v>
      </c>
      <c r="J27" s="6">
        <v>187</v>
      </c>
      <c r="K27" s="6">
        <v>419</v>
      </c>
      <c r="L27" s="6">
        <v>209</v>
      </c>
      <c r="M27" s="6">
        <v>347</v>
      </c>
      <c r="N27" s="6">
        <v>382</v>
      </c>
      <c r="O27" s="6">
        <v>285</v>
      </c>
      <c r="P27" s="6">
        <v>327</v>
      </c>
      <c r="Q27" s="6">
        <v>255</v>
      </c>
      <c r="R27" s="6">
        <v>255</v>
      </c>
      <c r="S27" s="6">
        <v>335</v>
      </c>
      <c r="T27" s="6">
        <v>613</v>
      </c>
      <c r="U27" s="6">
        <v>318</v>
      </c>
      <c r="V27" s="6">
        <v>489</v>
      </c>
      <c r="W27" s="6">
        <v>291</v>
      </c>
      <c r="X27" s="6">
        <v>308</v>
      </c>
      <c r="Y27" s="16">
        <v>377</v>
      </c>
      <c r="Z27" s="16">
        <v>450</v>
      </c>
      <c r="AA27" s="6">
        <f t="shared" si="4"/>
        <v>372.16666666666669</v>
      </c>
      <c r="AB27" s="17">
        <f t="shared" si="5"/>
        <v>1.298701298701288E-2</v>
      </c>
      <c r="AC27" s="20">
        <f t="shared" si="6"/>
        <v>77.833333333333314</v>
      </c>
    </row>
    <row r="28" spans="1:29" x14ac:dyDescent="0.25">
      <c r="A28" s="13" t="s">
        <v>10</v>
      </c>
      <c r="B28" s="6">
        <v>4475</v>
      </c>
      <c r="C28" s="6">
        <v>68</v>
      </c>
      <c r="D28" s="6">
        <v>449</v>
      </c>
      <c r="E28" s="6">
        <v>308</v>
      </c>
      <c r="F28" s="6">
        <v>355</v>
      </c>
      <c r="G28" s="6">
        <v>547</v>
      </c>
      <c r="H28" s="6">
        <v>348</v>
      </c>
      <c r="I28" s="6">
        <v>1642</v>
      </c>
      <c r="J28" s="6">
        <v>271</v>
      </c>
      <c r="K28" s="6">
        <v>980</v>
      </c>
      <c r="L28" s="6">
        <v>470</v>
      </c>
      <c r="M28" s="6">
        <v>-42</v>
      </c>
      <c r="N28" s="6">
        <v>2882</v>
      </c>
      <c r="O28" s="6">
        <v>-39</v>
      </c>
      <c r="P28" s="6">
        <v>638</v>
      </c>
      <c r="Q28" s="6">
        <v>629</v>
      </c>
      <c r="R28" s="6">
        <v>-65</v>
      </c>
      <c r="S28" s="6">
        <v>1663</v>
      </c>
      <c r="T28" s="6">
        <v>1481</v>
      </c>
      <c r="U28" s="6">
        <v>508</v>
      </c>
      <c r="V28" s="6">
        <v>1382</v>
      </c>
      <c r="W28" s="6">
        <v>606</v>
      </c>
      <c r="X28" s="6">
        <v>905</v>
      </c>
      <c r="Y28" s="16">
        <v>894</v>
      </c>
      <c r="Z28" s="16">
        <v>1252</v>
      </c>
      <c r="AA28" s="6">
        <f t="shared" si="4"/>
        <v>924.5</v>
      </c>
      <c r="AB28" s="17">
        <f t="shared" si="5"/>
        <v>-3.2990805840995119E-2</v>
      </c>
      <c r="AC28" s="20">
        <f t="shared" si="6"/>
        <v>327.5</v>
      </c>
    </row>
    <row r="29" spans="1:29" x14ac:dyDescent="0.25">
      <c r="A29" s="13" t="s">
        <v>47</v>
      </c>
      <c r="B29" s="6">
        <v>394</v>
      </c>
      <c r="C29" s="6">
        <v>208</v>
      </c>
      <c r="D29" s="6">
        <v>301</v>
      </c>
      <c r="E29" s="6">
        <v>153</v>
      </c>
      <c r="F29" s="6">
        <v>276</v>
      </c>
      <c r="G29" s="6">
        <v>382</v>
      </c>
      <c r="H29" s="6">
        <v>424</v>
      </c>
      <c r="I29" s="6">
        <v>785</v>
      </c>
      <c r="J29" s="6">
        <v>191</v>
      </c>
      <c r="K29" s="6">
        <v>441</v>
      </c>
      <c r="L29" s="6">
        <v>208</v>
      </c>
      <c r="M29" s="6">
        <v>588</v>
      </c>
      <c r="N29" s="6">
        <v>527</v>
      </c>
      <c r="O29" s="6">
        <v>264</v>
      </c>
      <c r="P29" s="6">
        <v>468</v>
      </c>
      <c r="Q29" s="6">
        <v>373</v>
      </c>
      <c r="R29" s="6">
        <v>425</v>
      </c>
      <c r="S29" s="6">
        <v>623</v>
      </c>
      <c r="T29" s="6">
        <v>848</v>
      </c>
      <c r="U29" s="6">
        <v>514</v>
      </c>
      <c r="V29" s="6">
        <v>812</v>
      </c>
      <c r="W29" s="6">
        <v>452</v>
      </c>
      <c r="X29" s="6">
        <v>437</v>
      </c>
      <c r="Y29" s="16">
        <v>476</v>
      </c>
      <c r="Z29" s="16">
        <v>806</v>
      </c>
      <c r="AA29" s="6">
        <f t="shared" si="4"/>
        <v>582.83333333333337</v>
      </c>
      <c r="AB29" s="17">
        <f t="shared" si="5"/>
        <v>-0.18329997140406062</v>
      </c>
      <c r="AC29" s="20">
        <f t="shared" si="6"/>
        <v>223.16666666666663</v>
      </c>
    </row>
    <row r="30" spans="1:29" x14ac:dyDescent="0.25">
      <c r="A30" s="13" t="s">
        <v>49</v>
      </c>
      <c r="B30" s="6">
        <v>457</v>
      </c>
      <c r="C30" s="6">
        <v>123</v>
      </c>
      <c r="D30" s="6">
        <v>187</v>
      </c>
      <c r="E30" s="6">
        <v>-2</v>
      </c>
      <c r="F30" s="6">
        <v>135</v>
      </c>
      <c r="G30" s="6">
        <v>174</v>
      </c>
      <c r="H30" s="6">
        <v>140</v>
      </c>
      <c r="I30" s="6">
        <v>259</v>
      </c>
      <c r="J30" s="6">
        <v>64</v>
      </c>
      <c r="K30" s="6">
        <v>203</v>
      </c>
      <c r="L30" s="6">
        <v>88</v>
      </c>
      <c r="M30" s="6">
        <v>-22</v>
      </c>
      <c r="N30" s="6">
        <v>333</v>
      </c>
      <c r="O30" s="6">
        <v>89</v>
      </c>
      <c r="P30" s="6"/>
      <c r="Q30" s="6">
        <v>180</v>
      </c>
      <c r="R30" s="6">
        <v>116</v>
      </c>
      <c r="S30" s="6">
        <v>92</v>
      </c>
      <c r="T30" s="6">
        <v>221</v>
      </c>
      <c r="U30" s="6">
        <v>142</v>
      </c>
      <c r="V30" s="6">
        <v>159</v>
      </c>
      <c r="W30" s="6">
        <v>110</v>
      </c>
      <c r="X30" s="6">
        <v>110</v>
      </c>
      <c r="Y30" s="16">
        <v>120</v>
      </c>
      <c r="Z30" s="16">
        <v>180</v>
      </c>
      <c r="AA30" s="6">
        <f t="shared" si="4"/>
        <v>136.83333333333334</v>
      </c>
      <c r="AB30" s="17">
        <f t="shared" si="5"/>
        <v>-0.12302070645554208</v>
      </c>
      <c r="AC30" s="20">
        <f t="shared" si="6"/>
        <v>43.166666666666657</v>
      </c>
    </row>
    <row r="31" spans="1:29" x14ac:dyDescent="0.25">
      <c r="A31" s="13" t="s">
        <v>13</v>
      </c>
      <c r="B31" s="6">
        <v>4287</v>
      </c>
      <c r="C31" s="6">
        <v>295</v>
      </c>
      <c r="D31" s="6">
        <v>418</v>
      </c>
      <c r="E31" s="6">
        <v>170</v>
      </c>
      <c r="F31" s="6">
        <v>501</v>
      </c>
      <c r="G31" s="6">
        <v>590</v>
      </c>
      <c r="H31" s="6">
        <v>458</v>
      </c>
      <c r="I31" s="6">
        <v>1283</v>
      </c>
      <c r="J31" s="6">
        <v>310</v>
      </c>
      <c r="K31" s="6">
        <v>881</v>
      </c>
      <c r="L31" s="6">
        <v>408</v>
      </c>
      <c r="M31" s="6">
        <v>1211</v>
      </c>
      <c r="N31" s="6">
        <v>823</v>
      </c>
      <c r="O31" s="6">
        <v>696</v>
      </c>
      <c r="P31" s="6">
        <v>-153</v>
      </c>
      <c r="Q31" s="6">
        <v>1067</v>
      </c>
      <c r="R31" s="6">
        <v>-876</v>
      </c>
      <c r="S31" s="6">
        <v>1350</v>
      </c>
      <c r="T31" s="6">
        <v>1257</v>
      </c>
      <c r="U31" s="6">
        <v>811</v>
      </c>
      <c r="V31" s="6">
        <v>1151</v>
      </c>
      <c r="W31" s="6">
        <v>528</v>
      </c>
      <c r="X31" s="6">
        <v>594</v>
      </c>
      <c r="Y31" s="16">
        <v>584</v>
      </c>
      <c r="Z31" s="16">
        <v>1137</v>
      </c>
      <c r="AA31" s="6">
        <f t="shared" si="4"/>
        <v>800.83333333333337</v>
      </c>
      <c r="AB31" s="17">
        <f t="shared" si="5"/>
        <v>-0.27075962539021858</v>
      </c>
      <c r="AC31" s="20">
        <f t="shared" si="6"/>
        <v>336.16666666666663</v>
      </c>
    </row>
    <row r="32" spans="1:29" x14ac:dyDescent="0.25">
      <c r="A32" s="13" t="s">
        <v>50</v>
      </c>
      <c r="B32" s="6">
        <v>181</v>
      </c>
      <c r="C32" s="6">
        <v>94</v>
      </c>
      <c r="D32" s="6">
        <v>166</v>
      </c>
      <c r="E32" s="6">
        <v>126</v>
      </c>
      <c r="F32" s="6">
        <v>282</v>
      </c>
      <c r="G32" s="6">
        <v>68</v>
      </c>
      <c r="H32" s="6">
        <v>253</v>
      </c>
      <c r="I32" s="6">
        <v>421</v>
      </c>
      <c r="J32" s="6">
        <v>170</v>
      </c>
      <c r="K32" s="6">
        <v>228</v>
      </c>
      <c r="L32" s="6">
        <v>149</v>
      </c>
      <c r="M32" s="6">
        <v>147</v>
      </c>
      <c r="N32" s="6">
        <v>207</v>
      </c>
      <c r="O32" s="6">
        <v>66</v>
      </c>
      <c r="P32" s="6">
        <v>23</v>
      </c>
      <c r="Q32" s="6"/>
      <c r="R32" s="6">
        <v>216</v>
      </c>
      <c r="S32" s="6">
        <v>162</v>
      </c>
      <c r="T32" s="6">
        <v>80</v>
      </c>
      <c r="U32" s="6">
        <v>129</v>
      </c>
      <c r="V32" s="6">
        <v>160</v>
      </c>
      <c r="W32" s="6">
        <v>35</v>
      </c>
      <c r="X32" s="6">
        <v>78</v>
      </c>
      <c r="Y32" s="16">
        <v>87</v>
      </c>
      <c r="Z32" s="16">
        <v>143</v>
      </c>
      <c r="AA32" s="6">
        <f t="shared" si="4"/>
        <v>105.33333333333333</v>
      </c>
      <c r="AB32" s="17">
        <f t="shared" si="5"/>
        <v>-0.17405063291139233</v>
      </c>
      <c r="AC32" s="20">
        <f t="shared" si="6"/>
        <v>37.666666666666671</v>
      </c>
    </row>
    <row r="33" spans="1:29" x14ac:dyDescent="0.25">
      <c r="A33" s="13" t="s">
        <v>51</v>
      </c>
      <c r="B33" s="6">
        <v>1074</v>
      </c>
      <c r="C33" s="6">
        <v>213</v>
      </c>
      <c r="D33" s="6">
        <v>331</v>
      </c>
      <c r="E33" s="6">
        <v>145</v>
      </c>
      <c r="F33" s="6">
        <v>243</v>
      </c>
      <c r="G33" s="6">
        <v>353</v>
      </c>
      <c r="H33" s="6">
        <v>298</v>
      </c>
      <c r="I33" s="6">
        <v>474</v>
      </c>
      <c r="J33" s="6">
        <v>181</v>
      </c>
      <c r="K33" s="6">
        <v>341</v>
      </c>
      <c r="L33" s="6">
        <v>144</v>
      </c>
      <c r="M33" s="6"/>
      <c r="N33" s="6">
        <v>796</v>
      </c>
      <c r="O33" s="6">
        <v>140</v>
      </c>
      <c r="P33" s="6">
        <v>-29</v>
      </c>
      <c r="Q33" s="6">
        <v>367</v>
      </c>
      <c r="R33" s="6">
        <v>233</v>
      </c>
      <c r="S33" s="6">
        <v>244</v>
      </c>
      <c r="T33" s="6">
        <v>383</v>
      </c>
      <c r="U33" s="6">
        <v>261</v>
      </c>
      <c r="V33" s="6">
        <v>353</v>
      </c>
      <c r="W33" s="6">
        <v>176</v>
      </c>
      <c r="X33" s="6">
        <v>270</v>
      </c>
      <c r="Y33" s="16">
        <v>197</v>
      </c>
      <c r="Z33" s="16">
        <v>383</v>
      </c>
      <c r="AA33" s="6">
        <f t="shared" si="4"/>
        <v>273.33333333333331</v>
      </c>
      <c r="AB33" s="17">
        <f t="shared" si="5"/>
        <v>-0.27926829268292674</v>
      </c>
      <c r="AC33" s="20">
        <f t="shared" si="6"/>
        <v>109.66666666666669</v>
      </c>
    </row>
    <row r="34" spans="1:29" x14ac:dyDescent="0.25">
      <c r="A34" s="13" t="s">
        <v>52</v>
      </c>
      <c r="B34" s="6">
        <v>132</v>
      </c>
      <c r="C34" s="6"/>
      <c r="D34" s="6">
        <v>-6</v>
      </c>
      <c r="E34" s="6">
        <v>19</v>
      </c>
      <c r="F34" s="6">
        <v>61</v>
      </c>
      <c r="G34" s="6">
        <v>94</v>
      </c>
      <c r="H34" s="6">
        <v>96</v>
      </c>
      <c r="I34" s="6">
        <v>163</v>
      </c>
      <c r="J34" s="6">
        <v>56</v>
      </c>
      <c r="K34" s="6">
        <v>53</v>
      </c>
      <c r="L34" s="6">
        <v>98</v>
      </c>
      <c r="M34" s="6">
        <v>-7</v>
      </c>
      <c r="N34" s="6">
        <v>126</v>
      </c>
      <c r="O34" s="6">
        <v>43</v>
      </c>
      <c r="P34" s="6">
        <v>-31</v>
      </c>
      <c r="Q34" s="6">
        <v>-41</v>
      </c>
      <c r="R34" s="6">
        <v>52</v>
      </c>
      <c r="S34" s="6"/>
      <c r="T34" s="6">
        <v>36</v>
      </c>
      <c r="U34" s="6">
        <v>68</v>
      </c>
      <c r="V34" s="6">
        <v>46</v>
      </c>
      <c r="W34" s="6">
        <v>31</v>
      </c>
      <c r="X34" s="6">
        <v>-14</v>
      </c>
      <c r="Y34" s="16">
        <v>24</v>
      </c>
      <c r="Z34" s="16">
        <v>65</v>
      </c>
      <c r="AA34" s="6">
        <f t="shared" si="4"/>
        <v>36.666666666666664</v>
      </c>
      <c r="AB34" s="17">
        <f t="shared" si="5"/>
        <v>-0.34545454545454546</v>
      </c>
      <c r="AC34" s="20">
        <f t="shared" si="6"/>
        <v>28.333333333333336</v>
      </c>
    </row>
    <row r="35" spans="1:29" x14ac:dyDescent="0.25">
      <c r="A35" s="13" t="s">
        <v>18</v>
      </c>
      <c r="B35" s="6"/>
      <c r="C35" s="6"/>
      <c r="D35" s="6"/>
      <c r="E35" s="6"/>
      <c r="F35" s="6"/>
      <c r="G35" s="6">
        <v>252</v>
      </c>
      <c r="H35" s="6">
        <v>61</v>
      </c>
      <c r="I35" s="6">
        <v>48</v>
      </c>
      <c r="J35" s="6">
        <v>16</v>
      </c>
      <c r="K35" s="6">
        <v>30</v>
      </c>
      <c r="L35" s="6">
        <v>12</v>
      </c>
      <c r="M35" s="6">
        <v>-48</v>
      </c>
      <c r="N35" s="6">
        <v>17</v>
      </c>
      <c r="O35" s="6">
        <v>-47</v>
      </c>
      <c r="P35" s="6">
        <v>-4</v>
      </c>
      <c r="Q35" s="6">
        <v>-13</v>
      </c>
      <c r="R35" s="6">
        <v>-18</v>
      </c>
      <c r="S35" s="6">
        <v>-1</v>
      </c>
      <c r="T35" s="6">
        <v>-1</v>
      </c>
      <c r="U35" s="6">
        <v>149</v>
      </c>
      <c r="V35" s="6">
        <v>199</v>
      </c>
      <c r="W35" s="6">
        <v>81</v>
      </c>
      <c r="X35" s="6"/>
      <c r="Y35" s="16">
        <v>107</v>
      </c>
      <c r="Z35" s="16">
        <v>116</v>
      </c>
      <c r="AA35" s="6">
        <f t="shared" si="4"/>
        <v>108.66666666666667</v>
      </c>
      <c r="AB35" s="17">
        <f t="shared" si="5"/>
        <v>-1.5337423312883458E-2</v>
      </c>
      <c r="AC35" s="20">
        <f t="shared" si="6"/>
        <v>7.3333333333333286</v>
      </c>
    </row>
    <row r="36" spans="1:29" x14ac:dyDescent="0.25">
      <c r="A36" s="13" t="s">
        <v>53</v>
      </c>
      <c r="B36" s="6">
        <v>668</v>
      </c>
      <c r="C36" s="6">
        <v>190</v>
      </c>
      <c r="D36" s="6">
        <v>124</v>
      </c>
      <c r="E36" s="6">
        <v>48</v>
      </c>
      <c r="F36" s="6">
        <v>15</v>
      </c>
      <c r="G36" s="6">
        <v>23</v>
      </c>
      <c r="H36" s="6">
        <v>97</v>
      </c>
      <c r="I36" s="6">
        <v>174</v>
      </c>
      <c r="J36" s="6">
        <v>74</v>
      </c>
      <c r="K36" s="6">
        <v>137</v>
      </c>
      <c r="L36" s="6">
        <v>77</v>
      </c>
      <c r="M36" s="6">
        <v>-18</v>
      </c>
      <c r="N36" s="6">
        <v>248</v>
      </c>
      <c r="O36" s="6">
        <v>122</v>
      </c>
      <c r="P36" s="6"/>
      <c r="Q36" s="6">
        <v>95</v>
      </c>
      <c r="R36" s="6">
        <v>46</v>
      </c>
      <c r="S36" s="6">
        <v>98</v>
      </c>
      <c r="T36" s="6">
        <v>156</v>
      </c>
      <c r="U36" s="6">
        <v>130</v>
      </c>
      <c r="V36" s="6">
        <v>134</v>
      </c>
      <c r="W36" s="6">
        <v>70</v>
      </c>
      <c r="X36" s="6">
        <v>104</v>
      </c>
      <c r="Y36" s="16">
        <v>104</v>
      </c>
      <c r="Z36" s="16">
        <v>128</v>
      </c>
      <c r="AA36" s="6">
        <f t="shared" si="4"/>
        <v>111.66666666666667</v>
      </c>
      <c r="AB36" s="17">
        <f t="shared" si="5"/>
        <v>-6.8656716417910491E-2</v>
      </c>
      <c r="AC36" s="20">
        <f t="shared" si="6"/>
        <v>16.333333333333329</v>
      </c>
    </row>
    <row r="37" spans="1:29" x14ac:dyDescent="0.25">
      <c r="A37" s="13" t="s">
        <v>20</v>
      </c>
      <c r="B37" s="6">
        <v>45</v>
      </c>
      <c r="C37" s="6">
        <v>42</v>
      </c>
      <c r="D37" s="6">
        <v>1</v>
      </c>
      <c r="E37" s="6">
        <v>5</v>
      </c>
      <c r="F37" s="6">
        <v>26</v>
      </c>
      <c r="G37" s="6">
        <v>20</v>
      </c>
      <c r="H37" s="6">
        <v>19</v>
      </c>
      <c r="I37" s="6">
        <v>66</v>
      </c>
      <c r="J37" s="6">
        <v>9</v>
      </c>
      <c r="K37" s="6">
        <v>111</v>
      </c>
      <c r="L37" s="6">
        <v>35</v>
      </c>
      <c r="M37" s="6">
        <v>-28</v>
      </c>
      <c r="N37" s="6">
        <v>-3</v>
      </c>
      <c r="O37" s="6">
        <v>-7</v>
      </c>
      <c r="P37" s="6"/>
      <c r="Q37" s="6"/>
      <c r="R37" s="6"/>
      <c r="S37" s="6"/>
      <c r="T37" s="6">
        <v>-52</v>
      </c>
      <c r="U37" s="6">
        <v>-17</v>
      </c>
      <c r="V37" s="6"/>
      <c r="W37" s="6"/>
      <c r="X37" s="6">
        <v>-11</v>
      </c>
      <c r="Y37" s="16">
        <v>95</v>
      </c>
      <c r="Z37" s="16">
        <v>86</v>
      </c>
      <c r="AA37" s="6">
        <f t="shared" si="4"/>
        <v>25.5</v>
      </c>
      <c r="AB37" s="17">
        <f t="shared" si="5"/>
        <v>2.7254901960784315</v>
      </c>
      <c r="AC37" s="20">
        <f t="shared" si="6"/>
        <v>60.5</v>
      </c>
    </row>
    <row r="38" spans="1:29" x14ac:dyDescent="0.25">
      <c r="A38" s="13" t="s">
        <v>21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v>741</v>
      </c>
      <c r="M38" s="6"/>
      <c r="N38" s="6"/>
      <c r="O38" s="6"/>
      <c r="P38" s="6"/>
      <c r="Q38" s="6">
        <v>-70</v>
      </c>
      <c r="R38" s="6">
        <v>-91</v>
      </c>
      <c r="S38" s="6"/>
      <c r="T38" s="6"/>
      <c r="U38" s="6"/>
      <c r="V38" s="6"/>
      <c r="W38" s="6">
        <v>90</v>
      </c>
      <c r="X38" s="6">
        <v>445</v>
      </c>
      <c r="Y38" s="16">
        <v>98</v>
      </c>
      <c r="Z38" s="16">
        <v>151</v>
      </c>
      <c r="AA38" s="6">
        <f t="shared" si="4"/>
        <v>130.66666666666666</v>
      </c>
      <c r="AB38" s="17">
        <f t="shared" si="5"/>
        <v>-0.25</v>
      </c>
      <c r="AC38" s="20">
        <f t="shared" si="6"/>
        <v>20.333333333333343</v>
      </c>
    </row>
    <row r="39" spans="1:29" x14ac:dyDescent="0.25">
      <c r="A39" s="13" t="s">
        <v>54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196</v>
      </c>
      <c r="T39" s="6">
        <v>192</v>
      </c>
      <c r="U39" s="6">
        <v>-19</v>
      </c>
      <c r="V39" s="6"/>
      <c r="W39" s="6"/>
      <c r="X39" s="6"/>
      <c r="Y39" s="16"/>
      <c r="Z39" s="16"/>
      <c r="AA39" s="6">
        <f t="shared" si="4"/>
        <v>-3.1666666666666665</v>
      </c>
      <c r="AB39" s="17">
        <f t="shared" si="5"/>
        <v>-1</v>
      </c>
      <c r="AC39" s="20">
        <f t="shared" si="6"/>
        <v>3.1666666666666665</v>
      </c>
    </row>
    <row r="40" spans="1:29" x14ac:dyDescent="0.25">
      <c r="A40" s="13" t="s">
        <v>26</v>
      </c>
      <c r="B40" s="6"/>
      <c r="C40" s="6"/>
      <c r="D40" s="6"/>
      <c r="E40" s="6"/>
      <c r="F40" s="6"/>
      <c r="G40" s="6"/>
      <c r="H40" s="6"/>
      <c r="I40" s="6"/>
      <c r="J40" s="6"/>
      <c r="K40" s="6">
        <v>-5</v>
      </c>
      <c r="L40" s="6">
        <v>-4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6">
        <v>40</v>
      </c>
      <c r="Z40" s="16">
        <v>7</v>
      </c>
      <c r="AA40" s="6">
        <f t="shared" si="4"/>
        <v>7.833333333333333</v>
      </c>
      <c r="AB40" s="17">
        <f t="shared" si="5"/>
        <v>4.1063829787234045</v>
      </c>
      <c r="AC40" s="20">
        <f t="shared" si="6"/>
        <v>-0.83333333333333304</v>
      </c>
    </row>
    <row r="41" spans="1:29" x14ac:dyDescent="0.25">
      <c r="A41" s="13" t="s">
        <v>28</v>
      </c>
      <c r="B41" s="6">
        <v>118</v>
      </c>
      <c r="C41" s="6">
        <v>23</v>
      </c>
      <c r="D41" s="6">
        <v>34</v>
      </c>
      <c r="E41" s="6">
        <v>15</v>
      </c>
      <c r="F41" s="6">
        <v>44</v>
      </c>
      <c r="G41" s="6">
        <v>41</v>
      </c>
      <c r="H41" s="6">
        <v>2</v>
      </c>
      <c r="I41" s="6">
        <v>54</v>
      </c>
      <c r="J41" s="6">
        <v>19</v>
      </c>
      <c r="K41" s="6">
        <v>38</v>
      </c>
      <c r="L41" s="6">
        <v>37</v>
      </c>
      <c r="M41" s="6"/>
      <c r="N41" s="6">
        <v>80</v>
      </c>
      <c r="O41" s="6">
        <v>33</v>
      </c>
      <c r="P41" s="6"/>
      <c r="Q41" s="6"/>
      <c r="R41" s="6"/>
      <c r="S41" s="6">
        <v>-14</v>
      </c>
      <c r="T41" s="6">
        <v>-1</v>
      </c>
      <c r="U41" s="6"/>
      <c r="V41" s="6"/>
      <c r="W41" s="6"/>
      <c r="X41" s="6"/>
      <c r="Y41" s="6"/>
      <c r="Z41" s="6"/>
      <c r="AA41" s="6">
        <f t="shared" si="4"/>
        <v>0</v>
      </c>
      <c r="AB41" s="17" t="e">
        <f t="shared" si="5"/>
        <v>#DIV/0!</v>
      </c>
      <c r="AC41" s="20">
        <f t="shared" si="6"/>
        <v>0</v>
      </c>
    </row>
    <row r="42" spans="1:29" x14ac:dyDescent="0.25">
      <c r="A42" s="13" t="s">
        <v>32</v>
      </c>
      <c r="B42" s="6"/>
      <c r="C42" s="6"/>
      <c r="D42" s="6"/>
      <c r="E42" s="6">
        <v>-1</v>
      </c>
      <c r="F42" s="6">
        <v>-1</v>
      </c>
      <c r="G42" s="6">
        <v>-1</v>
      </c>
      <c r="H42" s="6"/>
      <c r="I42" s="6"/>
      <c r="J42" s="6"/>
      <c r="K42" s="6"/>
      <c r="L42" s="6"/>
      <c r="M42" s="6">
        <v>-1</v>
      </c>
      <c r="N42" s="6"/>
      <c r="O42" s="6">
        <v>-1</v>
      </c>
      <c r="P42" s="6"/>
      <c r="Q42" s="6">
        <v>-1</v>
      </c>
      <c r="R42" s="6">
        <v>-2</v>
      </c>
      <c r="S42" s="6"/>
      <c r="T42" s="6"/>
      <c r="U42" s="6"/>
      <c r="V42" s="6"/>
      <c r="W42" s="6"/>
      <c r="X42" s="6"/>
      <c r="Y42" s="6"/>
      <c r="Z42" s="6"/>
      <c r="AA42" s="6">
        <f t="shared" si="4"/>
        <v>0</v>
      </c>
      <c r="AB42" s="17" t="e">
        <f t="shared" si="5"/>
        <v>#DIV/0!</v>
      </c>
      <c r="AC42" s="20">
        <f t="shared" si="6"/>
        <v>0</v>
      </c>
    </row>
    <row r="43" spans="1:29" x14ac:dyDescent="0.25">
      <c r="A43" s="14" t="s">
        <v>33</v>
      </c>
      <c r="B43" s="15">
        <v>12743</v>
      </c>
      <c r="C43" s="15">
        <v>3057</v>
      </c>
      <c r="D43" s="15">
        <v>9452</v>
      </c>
      <c r="E43" s="15">
        <v>1130</v>
      </c>
      <c r="F43" s="15">
        <v>2424</v>
      </c>
      <c r="G43" s="15">
        <v>6308</v>
      </c>
      <c r="H43" s="15">
        <v>5044</v>
      </c>
      <c r="I43" s="15">
        <v>10467</v>
      </c>
      <c r="J43" s="15">
        <v>3038</v>
      </c>
      <c r="K43" s="15">
        <v>7199</v>
      </c>
      <c r="L43" s="15">
        <v>3538</v>
      </c>
      <c r="M43" s="15">
        <v>2580</v>
      </c>
      <c r="N43" s="15">
        <f t="shared" ref="N43:Z43" si="7">SUM(N26:N42)</f>
        <v>8084</v>
      </c>
      <c r="O43" s="15">
        <f t="shared" si="7"/>
        <v>5636</v>
      </c>
      <c r="P43" s="15">
        <f t="shared" si="7"/>
        <v>5340</v>
      </c>
      <c r="Q43" s="15">
        <f t="shared" si="7"/>
        <v>3449</v>
      </c>
      <c r="R43" s="15">
        <f t="shared" si="7"/>
        <v>7381</v>
      </c>
      <c r="S43" s="15">
        <f t="shared" si="7"/>
        <v>9340</v>
      </c>
      <c r="T43" s="15">
        <f t="shared" si="7"/>
        <v>8023</v>
      </c>
      <c r="U43" s="15">
        <f t="shared" si="7"/>
        <v>3688</v>
      </c>
      <c r="V43" s="15">
        <f t="shared" si="7"/>
        <v>7952</v>
      </c>
      <c r="W43" s="15">
        <f t="shared" si="7"/>
        <v>2878</v>
      </c>
      <c r="X43" s="15">
        <f t="shared" si="7"/>
        <v>4135</v>
      </c>
      <c r="Y43" s="15">
        <f t="shared" si="7"/>
        <v>3930</v>
      </c>
      <c r="Z43" s="15">
        <f t="shared" si="7"/>
        <v>5463</v>
      </c>
      <c r="AA43" s="6">
        <f t="shared" si="4"/>
        <v>4674.333333333333</v>
      </c>
      <c r="AB43" s="17">
        <f t="shared" si="5"/>
        <v>-0.15923839406689011</v>
      </c>
      <c r="AC43" s="20">
        <f t="shared" si="6"/>
        <v>788.66666666666697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A612-81B7-4E2E-AE32-AF68934014C6}">
  <dimension ref="A1:AC51"/>
  <sheetViews>
    <sheetView topLeftCell="I16" zoomScale="55" zoomScaleNormal="55" workbookViewId="0">
      <selection activeCell="Y46" sqref="Y46"/>
    </sheetView>
  </sheetViews>
  <sheetFormatPr defaultRowHeight="15" outlineLevelCol="1" x14ac:dyDescent="0.25"/>
  <cols>
    <col min="1" max="1" width="38" bestFit="1" customWidth="1"/>
    <col min="2" max="2" width="14.85546875" bestFit="1" customWidth="1" outlineLevel="1"/>
    <col min="3" max="3" width="15.140625" bestFit="1" customWidth="1" outlineLevel="1"/>
    <col min="4" max="4" width="14.85546875" bestFit="1" customWidth="1" outlineLevel="1"/>
    <col min="5" max="5" width="15.42578125" bestFit="1" customWidth="1" outlineLevel="1"/>
    <col min="6" max="6" width="14.5703125" bestFit="1" customWidth="1" outlineLevel="1"/>
    <col min="7" max="7" width="15.42578125" bestFit="1" customWidth="1" outlineLevel="1"/>
    <col min="8" max="8" width="15.5703125" bestFit="1" customWidth="1" outlineLevel="1"/>
    <col min="9" max="9" width="14.5703125" bestFit="1" customWidth="1" outlineLevel="1"/>
    <col min="10" max="10" width="15.140625" bestFit="1" customWidth="1" outlineLevel="1"/>
    <col min="11" max="12" width="15.5703125" bestFit="1" customWidth="1" outlineLevel="1"/>
    <col min="13" max="13" width="14.85546875" bestFit="1" customWidth="1" outlineLevel="1"/>
    <col min="14" max="14" width="14.85546875" bestFit="1" customWidth="1"/>
    <col min="15" max="15" width="14.28515625" bestFit="1" customWidth="1"/>
    <col min="16" max="16" width="15.5703125" bestFit="1" customWidth="1"/>
    <col min="17" max="17" width="15.140625" bestFit="1" customWidth="1"/>
    <col min="18" max="18" width="15.42578125" bestFit="1" customWidth="1"/>
    <col min="19" max="19" width="15.140625" bestFit="1" customWidth="1"/>
    <col min="20" max="20" width="14.5703125" bestFit="1" customWidth="1"/>
    <col min="21" max="21" width="14.28515625" bestFit="1" customWidth="1"/>
    <col min="22" max="22" width="15.140625" bestFit="1" customWidth="1"/>
    <col min="23" max="23" width="14" bestFit="1" customWidth="1"/>
    <col min="24" max="24" width="14.5703125" bestFit="1" customWidth="1"/>
    <col min="25" max="25" width="14" bestFit="1" customWidth="1"/>
    <col min="26" max="26" width="14.28515625" bestFit="1" customWidth="1"/>
    <col min="27" max="27" width="12" bestFit="1" customWidth="1"/>
    <col min="28" max="28" width="8.7109375" bestFit="1" customWidth="1"/>
    <col min="29" max="29" width="10.42578125" bestFit="1" customWidth="1"/>
  </cols>
  <sheetData>
    <row r="1" spans="1:29" x14ac:dyDescent="0.25">
      <c r="A1" s="1" t="s">
        <v>63</v>
      </c>
    </row>
    <row r="2" spans="1:29" x14ac:dyDescent="0.25">
      <c r="A2" s="1" t="s">
        <v>1</v>
      </c>
    </row>
    <row r="3" spans="1:29" x14ac:dyDescent="0.25">
      <c r="A3" s="3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</row>
    <row r="4" spans="1:29" x14ac:dyDescent="0.25">
      <c r="A4" t="s">
        <v>41</v>
      </c>
      <c r="B4" s="6">
        <v>370410.53571428562</v>
      </c>
      <c r="C4" s="6">
        <v>528484.39285714284</v>
      </c>
      <c r="D4" s="6">
        <v>612587.63392857125</v>
      </c>
      <c r="E4" s="6">
        <v>713557.41964285634</v>
      </c>
      <c r="F4" s="6">
        <v>493262.50000000012</v>
      </c>
      <c r="G4" s="6">
        <v>582007.8125</v>
      </c>
      <c r="H4" s="6">
        <v>422122.48214285722</v>
      </c>
      <c r="I4" s="6">
        <v>725961.99999999977</v>
      </c>
      <c r="J4" s="6">
        <v>471841.6517857142</v>
      </c>
      <c r="K4" s="6">
        <v>415353.33928571426</v>
      </c>
      <c r="L4" s="6">
        <v>231209.39285714299</v>
      </c>
      <c r="M4" s="7">
        <v>1174794.3035714284</v>
      </c>
      <c r="N4" s="7">
        <v>679927.47321428568</v>
      </c>
      <c r="O4" s="7">
        <v>36254.830357142957</v>
      </c>
      <c r="P4" s="7">
        <v>508575.41964285722</v>
      </c>
      <c r="Q4" s="6">
        <v>440056.25000000006</v>
      </c>
      <c r="R4" s="6">
        <v>401521.82142857159</v>
      </c>
      <c r="S4" s="6">
        <v>490265.83035714302</v>
      </c>
      <c r="T4" s="6">
        <v>517759.87500000012</v>
      </c>
      <c r="U4" s="6">
        <v>466492.76785714319</v>
      </c>
      <c r="V4" s="6">
        <v>488628.72321428556</v>
      </c>
      <c r="W4" s="6">
        <v>523889.83035714267</v>
      </c>
      <c r="X4" s="6">
        <v>1669316.9464285711</v>
      </c>
      <c r="Y4" s="16">
        <v>-212696.12499999994</v>
      </c>
      <c r="Z4" s="16">
        <v>328926.35714285733</v>
      </c>
      <c r="AA4" s="6">
        <f>SUM(U4:Z4)/6</f>
        <v>544093.08333333337</v>
      </c>
      <c r="AB4" s="17">
        <f>Y4/AA4-1</f>
        <v>-1.3909186341736561</v>
      </c>
      <c r="AC4" s="20">
        <f>Z4-AA4</f>
        <v>-215166.72619047604</v>
      </c>
    </row>
    <row r="5" spans="1:29" x14ac:dyDescent="0.25">
      <c r="A5" t="s">
        <v>44</v>
      </c>
      <c r="B5" s="6">
        <v>571990.51785714296</v>
      </c>
      <c r="C5" s="6">
        <v>475942.47321428568</v>
      </c>
      <c r="D5" s="6">
        <v>616488.5</v>
      </c>
      <c r="E5" s="6">
        <v>747717.30357142864</v>
      </c>
      <c r="F5" s="6">
        <v>848323.64285714261</v>
      </c>
      <c r="G5" s="6">
        <v>654154.60714285716</v>
      </c>
      <c r="H5" s="6">
        <v>564410.5267857142</v>
      </c>
      <c r="I5" s="6">
        <v>968327.36607142852</v>
      </c>
      <c r="J5" s="6">
        <v>759588.12499999988</v>
      </c>
      <c r="K5" s="6">
        <v>844410.91964285728</v>
      </c>
      <c r="L5" s="6">
        <v>950862.98214285681</v>
      </c>
      <c r="M5" s="7">
        <v>846088.5</v>
      </c>
      <c r="N5" s="7">
        <v>626178.99107142875</v>
      </c>
      <c r="O5" s="7">
        <v>1182068.6339285714</v>
      </c>
      <c r="P5" s="7">
        <v>753716.16964285704</v>
      </c>
      <c r="Q5" s="6">
        <v>622004.95535714284</v>
      </c>
      <c r="R5" s="6">
        <v>598733.03571428568</v>
      </c>
      <c r="S5" s="6">
        <v>673448.18750000012</v>
      </c>
      <c r="T5" s="6">
        <v>727267.24999999988</v>
      </c>
      <c r="U5" s="6">
        <v>864416.10714285716</v>
      </c>
      <c r="V5" s="6">
        <v>874289.33035714284</v>
      </c>
      <c r="W5" s="6">
        <v>923746.59821428603</v>
      </c>
      <c r="X5" s="6">
        <v>834797.03571428568</v>
      </c>
      <c r="Y5" s="16">
        <v>311287.8571428571</v>
      </c>
      <c r="Z5" s="16">
        <v>793596.66964285704</v>
      </c>
      <c r="AA5" s="6">
        <f t="shared" ref="AA5:AA25" si="0">SUM(U5:Z5)/6</f>
        <v>767022.26636904769</v>
      </c>
      <c r="AB5" s="17">
        <f t="shared" ref="AB5:AB25" si="1">Y5/AA5-1</f>
        <v>-0.59416059899220319</v>
      </c>
      <c r="AC5" s="20">
        <f t="shared" ref="AC5:AC25" si="2">Z5-AA5</f>
        <v>26574.403273809352</v>
      </c>
    </row>
    <row r="6" spans="1:29" x14ac:dyDescent="0.25">
      <c r="A6" t="s">
        <v>10</v>
      </c>
      <c r="B6" s="6">
        <v>115376.32142857143</v>
      </c>
      <c r="C6" s="6">
        <v>160330.36607142861</v>
      </c>
      <c r="D6" s="6">
        <v>42816.062499999985</v>
      </c>
      <c r="E6" s="6">
        <v>266339.49107142858</v>
      </c>
      <c r="F6" s="6">
        <v>115735.09821428574</v>
      </c>
      <c r="G6" s="6">
        <v>111115.86607142855</v>
      </c>
      <c r="H6" s="6">
        <v>74295.303571428551</v>
      </c>
      <c r="I6" s="6">
        <v>167026.03571428574</v>
      </c>
      <c r="J6" s="6">
        <v>155468.66964285719</v>
      </c>
      <c r="K6" s="6">
        <v>77896.85714285713</v>
      </c>
      <c r="L6" s="6">
        <v>98373.92857142858</v>
      </c>
      <c r="M6" s="7">
        <v>623781.12500000012</v>
      </c>
      <c r="N6" s="7">
        <v>192159.73214285716</v>
      </c>
      <c r="O6" s="7">
        <v>127046.59821428567</v>
      </c>
      <c r="P6" s="7">
        <v>100233.74107142857</v>
      </c>
      <c r="Q6" s="6">
        <v>73893.428571428594</v>
      </c>
      <c r="R6" s="6">
        <v>97472.151785714304</v>
      </c>
      <c r="S6" s="6">
        <v>93229.160714285696</v>
      </c>
      <c r="T6" s="6">
        <v>180026.56250000003</v>
      </c>
      <c r="U6" s="6">
        <v>117824.64285714287</v>
      </c>
      <c r="V6" s="6">
        <v>142508.30357142861</v>
      </c>
      <c r="W6" s="6">
        <v>124851.35714285712</v>
      </c>
      <c r="X6" s="6">
        <v>121802.75892857141</v>
      </c>
      <c r="Y6" s="16">
        <v>109933.39285714286</v>
      </c>
      <c r="Z6" s="16">
        <v>124461.20535714286</v>
      </c>
      <c r="AA6" s="6">
        <f t="shared" si="0"/>
        <v>123563.61011904762</v>
      </c>
      <c r="AB6" s="17">
        <f t="shared" si="1"/>
        <v>-0.11030931557254353</v>
      </c>
      <c r="AC6" s="20">
        <f t="shared" si="2"/>
        <v>897.59523809523671</v>
      </c>
    </row>
    <row r="7" spans="1:29" x14ac:dyDescent="0.25">
      <c r="A7" t="s">
        <v>47</v>
      </c>
      <c r="B7" s="6">
        <v>83142.85714285713</v>
      </c>
      <c r="C7" s="6">
        <v>295220.5</v>
      </c>
      <c r="D7" s="6">
        <v>120730.3571428571</v>
      </c>
      <c r="E7" s="6">
        <v>460057.14285714284</v>
      </c>
      <c r="F7" s="6">
        <v>210282.14285714281</v>
      </c>
      <c r="G7" s="6">
        <v>183433.92857142858</v>
      </c>
      <c r="H7" s="6">
        <v>239453.21428571423</v>
      </c>
      <c r="I7" s="6">
        <v>288189.28571428568</v>
      </c>
      <c r="J7" s="6">
        <v>206806.25000000003</v>
      </c>
      <c r="K7" s="6">
        <v>130257.49999999997</v>
      </c>
      <c r="L7" s="6">
        <v>108531.11607142857</v>
      </c>
      <c r="M7" s="7">
        <v>844094.00000000035</v>
      </c>
      <c r="N7" s="7">
        <v>261746.96428571432</v>
      </c>
      <c r="O7" s="7">
        <v>55323.214285714275</v>
      </c>
      <c r="P7" s="7">
        <v>284007.71428571426</v>
      </c>
      <c r="Q7" s="6">
        <v>345734.78571428574</v>
      </c>
      <c r="R7" s="6">
        <v>255687.32142857145</v>
      </c>
      <c r="S7" s="6">
        <v>280879.71428571432</v>
      </c>
      <c r="T7" s="6">
        <v>355073.76785714278</v>
      </c>
      <c r="U7" s="6">
        <v>135777.99999999997</v>
      </c>
      <c r="V7" s="6">
        <v>362742.17857142846</v>
      </c>
      <c r="W7" s="6">
        <v>390301.2321428571</v>
      </c>
      <c r="X7" s="6">
        <v>340894.50892857142</v>
      </c>
      <c r="Y7" s="16">
        <v>209151.3125</v>
      </c>
      <c r="Z7" s="16">
        <v>440103.26785714267</v>
      </c>
      <c r="AA7" s="6">
        <f t="shared" si="0"/>
        <v>313161.74999999994</v>
      </c>
      <c r="AB7" s="17">
        <f t="shared" si="1"/>
        <v>-0.33213008133975486</v>
      </c>
      <c r="AC7" s="20">
        <f t="shared" si="2"/>
        <v>126941.51785714272</v>
      </c>
    </row>
    <row r="8" spans="1:29" x14ac:dyDescent="0.25">
      <c r="A8" t="s">
        <v>49</v>
      </c>
      <c r="B8" s="6">
        <v>859608.41964285704</v>
      </c>
      <c r="C8" s="6">
        <v>578091.15178571409</v>
      </c>
      <c r="D8" s="6">
        <v>544136.08928571432</v>
      </c>
      <c r="E8" s="6">
        <v>414800.91071428574</v>
      </c>
      <c r="F8" s="6">
        <v>538387.64285714307</v>
      </c>
      <c r="G8" s="6">
        <v>552777.91964285728</v>
      </c>
      <c r="H8" s="6">
        <v>1033549.624999999</v>
      </c>
      <c r="I8" s="6">
        <v>903922.59821428568</v>
      </c>
      <c r="J8" s="6">
        <v>857029.31250000023</v>
      </c>
      <c r="K8" s="6">
        <v>650833.5357142858</v>
      </c>
      <c r="L8" s="6">
        <v>794497.09821428591</v>
      </c>
      <c r="M8" s="7">
        <v>933611.70535714249</v>
      </c>
      <c r="N8" s="7">
        <v>859599.90178571432</v>
      </c>
      <c r="O8" s="7">
        <v>1201453.7946428552</v>
      </c>
      <c r="P8" s="7">
        <v>712702.46428571432</v>
      </c>
      <c r="Q8" s="6">
        <v>634825.79464285704</v>
      </c>
      <c r="R8" s="6">
        <v>599813.99107142852</v>
      </c>
      <c r="S8" s="6">
        <v>640843.14285714284</v>
      </c>
      <c r="T8" s="6">
        <v>532723.72321428615</v>
      </c>
      <c r="U8" s="6">
        <v>616203.13392857159</v>
      </c>
      <c r="V8" s="6">
        <v>985214.06250000023</v>
      </c>
      <c r="W8" s="6">
        <v>924164.50892857113</v>
      </c>
      <c r="X8" s="6">
        <v>742492.83928571444</v>
      </c>
      <c r="Y8" s="16">
        <v>349968.22321428568</v>
      </c>
      <c r="Z8" s="16">
        <v>528927.79464285716</v>
      </c>
      <c r="AA8" s="6">
        <f t="shared" si="0"/>
        <v>691161.76041666663</v>
      </c>
      <c r="AB8" s="17">
        <f t="shared" si="1"/>
        <v>-0.4936522197013512</v>
      </c>
      <c r="AC8" s="20">
        <f t="shared" si="2"/>
        <v>-162233.96577380947</v>
      </c>
    </row>
    <row r="9" spans="1:29" x14ac:dyDescent="0.25">
      <c r="A9" t="s">
        <v>13</v>
      </c>
      <c r="B9" s="6">
        <v>171959.35714285716</v>
      </c>
      <c r="C9" s="6">
        <v>356714.30357142858</v>
      </c>
      <c r="D9" s="6">
        <v>156935.61607142858</v>
      </c>
      <c r="E9" s="6">
        <v>410753.46428571426</v>
      </c>
      <c r="F9" s="6">
        <v>306944.94642857148</v>
      </c>
      <c r="G9" s="6">
        <v>233629.82142857139</v>
      </c>
      <c r="H9" s="6">
        <v>206075.09821428577</v>
      </c>
      <c r="I9" s="6">
        <v>251675.10714285716</v>
      </c>
      <c r="J9" s="6">
        <v>328212.32142857154</v>
      </c>
      <c r="K9" s="6">
        <v>238284.91071428568</v>
      </c>
      <c r="L9" s="6">
        <v>121402.2321428571</v>
      </c>
      <c r="M9" s="7">
        <v>534916.02678571432</v>
      </c>
      <c r="N9" s="7">
        <v>140401.53571428562</v>
      </c>
      <c r="O9" s="7">
        <v>257621.23214285716</v>
      </c>
      <c r="P9" s="7">
        <v>245546.73214285716</v>
      </c>
      <c r="Q9" s="6">
        <v>28903.446428571428</v>
      </c>
      <c r="R9" s="6">
        <v>96075.22321428571</v>
      </c>
      <c r="S9" s="6">
        <v>192344.875</v>
      </c>
      <c r="T9" s="6">
        <v>338534.04464285722</v>
      </c>
      <c r="U9" s="6">
        <v>82310.624999999985</v>
      </c>
      <c r="V9" s="6">
        <v>320889.53571428591</v>
      </c>
      <c r="W9" s="6">
        <v>274112.5</v>
      </c>
      <c r="X9" s="6">
        <v>280407.08928571426</v>
      </c>
      <c r="Y9" s="16">
        <v>94623.044642857058</v>
      </c>
      <c r="Z9" s="16">
        <v>373626.54464285733</v>
      </c>
      <c r="AA9" s="6">
        <f t="shared" si="0"/>
        <v>237661.55654761908</v>
      </c>
      <c r="AB9" s="17">
        <f t="shared" si="1"/>
        <v>-0.60185801179881659</v>
      </c>
      <c r="AC9" s="20">
        <f t="shared" si="2"/>
        <v>135964.98809523825</v>
      </c>
    </row>
    <row r="10" spans="1:29" x14ac:dyDescent="0.25">
      <c r="A10" t="s">
        <v>50</v>
      </c>
      <c r="B10" s="6">
        <v>24930.53571428571</v>
      </c>
      <c r="C10" s="6">
        <v>50911.428571428565</v>
      </c>
      <c r="D10" s="6">
        <v>30336.78571428571</v>
      </c>
      <c r="E10" s="6">
        <v>85326.071428571435</v>
      </c>
      <c r="F10" s="6">
        <v>21779.464285714283</v>
      </c>
      <c r="G10" s="6">
        <v>2471.4285714285711</v>
      </c>
      <c r="H10" s="6">
        <v>17763.392857142855</v>
      </c>
      <c r="I10" s="6">
        <v>42755.714285714283</v>
      </c>
      <c r="J10" s="6">
        <v>16187.857142857141</v>
      </c>
      <c r="K10" s="6">
        <v>32808.214285714283</v>
      </c>
      <c r="L10" s="6">
        <v>7537.8571428571413</v>
      </c>
      <c r="M10" s="7">
        <v>114087.32142857142</v>
      </c>
      <c r="N10" s="7">
        <v>55916.071428571428</v>
      </c>
      <c r="O10" s="7">
        <v>12230.482142857141</v>
      </c>
      <c r="P10" s="7">
        <v>-6470.5089285714275</v>
      </c>
      <c r="Q10" s="6">
        <v>15577.723214285714</v>
      </c>
      <c r="R10" s="6">
        <v>46957.142857142848</v>
      </c>
      <c r="S10" s="6">
        <v>8327.5892857142862</v>
      </c>
      <c r="T10" s="6">
        <v>36229.821428571428</v>
      </c>
      <c r="U10" s="6">
        <v>7367.9642857142844</v>
      </c>
      <c r="V10" s="6">
        <v>35031.178571428565</v>
      </c>
      <c r="W10" s="6">
        <v>16730.633928571431</v>
      </c>
      <c r="X10" s="6">
        <v>43563.651785714275</v>
      </c>
      <c r="Y10" s="16">
        <v>14362.089285714283</v>
      </c>
      <c r="Z10" s="16"/>
      <c r="AA10" s="6">
        <f t="shared" si="0"/>
        <v>19509.252976190473</v>
      </c>
      <c r="AB10" s="17">
        <f t="shared" si="1"/>
        <v>-0.26383192102526443</v>
      </c>
      <c r="AC10" s="20">
        <f t="shared" si="2"/>
        <v>-19509.252976190473</v>
      </c>
    </row>
    <row r="11" spans="1:29" x14ac:dyDescent="0.25">
      <c r="A11" t="s">
        <v>51</v>
      </c>
      <c r="B11" s="6">
        <v>52815.10714285713</v>
      </c>
      <c r="C11" s="6">
        <v>42740.616071428565</v>
      </c>
      <c r="D11" s="6">
        <v>32365.4375</v>
      </c>
      <c r="E11" s="6">
        <v>112785.58035714281</v>
      </c>
      <c r="F11" s="6">
        <v>58217.401785714283</v>
      </c>
      <c r="G11" s="6">
        <v>30862.696428571428</v>
      </c>
      <c r="H11" s="6">
        <v>11241.008928571428</v>
      </c>
      <c r="I11" s="6">
        <v>41704.28571428571</v>
      </c>
      <c r="J11" s="6">
        <v>32742.017857142855</v>
      </c>
      <c r="K11" s="6">
        <v>11780.357142857143</v>
      </c>
      <c r="L11" s="6">
        <v>14012.4375</v>
      </c>
      <c r="M11" s="7">
        <v>214627.80357142855</v>
      </c>
      <c r="N11" s="7">
        <v>49213.705357142855</v>
      </c>
      <c r="O11" s="7">
        <v>53367.553571428551</v>
      </c>
      <c r="P11" s="7">
        <v>29967.160714285714</v>
      </c>
      <c r="Q11" s="6">
        <v>21813.303571428569</v>
      </c>
      <c r="R11" s="6">
        <v>20747.107142857141</v>
      </c>
      <c r="S11" s="6">
        <v>54762.205357142862</v>
      </c>
      <c r="T11" s="6">
        <v>51632.214285714275</v>
      </c>
      <c r="U11" s="6">
        <v>6066.9464285714275</v>
      </c>
      <c r="V11" s="6">
        <v>23293.47321428571</v>
      </c>
      <c r="W11" s="6">
        <v>19641.124999999996</v>
      </c>
      <c r="X11" s="6">
        <v>26497.991071428565</v>
      </c>
      <c r="Y11" s="16">
        <v>31788.258928571428</v>
      </c>
      <c r="Z11" s="16">
        <v>23972.294642857138</v>
      </c>
      <c r="AA11" s="6">
        <f t="shared" si="0"/>
        <v>21876.681547619042</v>
      </c>
      <c r="AB11" s="17">
        <f t="shared" si="1"/>
        <v>0.45306585276097855</v>
      </c>
      <c r="AC11" s="20">
        <f t="shared" si="2"/>
        <v>2095.6130952380954</v>
      </c>
    </row>
    <row r="12" spans="1:29" x14ac:dyDescent="0.25">
      <c r="A12" t="s">
        <v>52</v>
      </c>
      <c r="B12" s="6">
        <v>26660.375</v>
      </c>
      <c r="C12" s="6">
        <v>-3262.125</v>
      </c>
      <c r="D12" s="6">
        <v>5747.2678571428569</v>
      </c>
      <c r="E12" s="6">
        <v>80638.428571428536</v>
      </c>
      <c r="F12" s="6">
        <v>34049.982142857145</v>
      </c>
      <c r="G12" s="6">
        <v>58082.973214285703</v>
      </c>
      <c r="H12" s="6">
        <v>11002.732142857143</v>
      </c>
      <c r="I12" s="6">
        <v>39879.375</v>
      </c>
      <c r="J12" s="6">
        <v>26274.857142857141</v>
      </c>
      <c r="K12" s="6">
        <v>9974.3303571428551</v>
      </c>
      <c r="L12" s="6">
        <v>4948.0178571428578</v>
      </c>
      <c r="M12" s="7">
        <v>72497.696428571406</v>
      </c>
      <c r="N12" s="7">
        <v>29904.696428571424</v>
      </c>
      <c r="O12" s="7">
        <v>13517.017857142851</v>
      </c>
      <c r="P12" s="7">
        <v>47979.571428571428</v>
      </c>
      <c r="Q12" s="6">
        <v>21300.160714285714</v>
      </c>
      <c r="R12" s="6">
        <v>35060.839285714268</v>
      </c>
      <c r="S12" s="6">
        <v>373.66071428571428</v>
      </c>
      <c r="T12" s="6">
        <v>19922.625</v>
      </c>
      <c r="U12" s="6">
        <v>92223.017857142841</v>
      </c>
      <c r="V12" s="6">
        <v>40349.410714285703</v>
      </c>
      <c r="W12" s="6">
        <v>119684.1071428571</v>
      </c>
      <c r="X12" s="6">
        <v>54170.910714285717</v>
      </c>
      <c r="Y12" s="16">
        <v>21424.214285714286</v>
      </c>
      <c r="Z12" s="16">
        <v>64903.767857142848</v>
      </c>
      <c r="AA12" s="6">
        <f t="shared" si="0"/>
        <v>65459.238095238077</v>
      </c>
      <c r="AB12" s="17">
        <f t="shared" si="1"/>
        <v>-0.6727090795871512</v>
      </c>
      <c r="AC12" s="20">
        <f t="shared" si="2"/>
        <v>-555.47023809522943</v>
      </c>
    </row>
    <row r="13" spans="1:29" x14ac:dyDescent="0.25">
      <c r="A13" t="s">
        <v>17</v>
      </c>
      <c r="B13" s="6"/>
      <c r="C13" s="6"/>
      <c r="D13" s="6">
        <v>4714.2857142857138</v>
      </c>
      <c r="E13" s="6"/>
      <c r="F13" s="6">
        <v>5892.8571428571422</v>
      </c>
      <c r="G13" s="6"/>
      <c r="H13" s="6">
        <v>17914.285714285714</v>
      </c>
      <c r="I13" s="6">
        <v>1885.7142857142856</v>
      </c>
      <c r="J13" s="6">
        <v>1414.2857142857142</v>
      </c>
      <c r="K13" s="6">
        <v>3300</v>
      </c>
      <c r="L13" s="6">
        <v>1885.7142857142856</v>
      </c>
      <c r="M13" s="7">
        <v>441.96428571428567</v>
      </c>
      <c r="N13" s="7"/>
      <c r="O13" s="7">
        <v>7778.5714285714284</v>
      </c>
      <c r="P13" s="7">
        <v>12276.339285714284</v>
      </c>
      <c r="Q13" s="6"/>
      <c r="R13" s="6">
        <v>2357.1428571428569</v>
      </c>
      <c r="S13" s="6"/>
      <c r="T13" s="6">
        <v>1453.5357142857142</v>
      </c>
      <c r="U13" s="6"/>
      <c r="V13" s="6">
        <v>-342.85714285714266</v>
      </c>
      <c r="W13" s="6">
        <v>1414.2857142857142</v>
      </c>
      <c r="X13" s="6"/>
      <c r="Y13" s="16">
        <v>2455.2678571428569</v>
      </c>
      <c r="Z13" s="16">
        <v>1768</v>
      </c>
      <c r="AA13" s="6">
        <f t="shared" si="0"/>
        <v>882.4494047619047</v>
      </c>
      <c r="AB13" s="17">
        <f t="shared" si="1"/>
        <v>1.7823327251326293</v>
      </c>
      <c r="AC13" s="20">
        <f t="shared" si="2"/>
        <v>885.5505952380953</v>
      </c>
    </row>
    <row r="14" spans="1:29" x14ac:dyDescent="0.25">
      <c r="A14" t="s">
        <v>18</v>
      </c>
      <c r="B14" s="6"/>
      <c r="C14" s="6"/>
      <c r="D14" s="6"/>
      <c r="E14" s="6"/>
      <c r="F14" s="6"/>
      <c r="G14" s="6"/>
      <c r="H14" s="6"/>
      <c r="I14" s="6">
        <v>58928.57142857142</v>
      </c>
      <c r="J14" s="6"/>
      <c r="K14" s="6"/>
      <c r="L14" s="6"/>
      <c r="M14" s="7">
        <v>39285.714285714283</v>
      </c>
      <c r="N14" s="7">
        <v>1964.285714285714</v>
      </c>
      <c r="O14" s="7"/>
      <c r="P14" s="7">
        <v>3928.571428571428</v>
      </c>
      <c r="Q14" s="6"/>
      <c r="R14" s="6">
        <v>19642.857142857141</v>
      </c>
      <c r="S14" s="6"/>
      <c r="T14" s="6"/>
      <c r="U14" s="6">
        <v>3928.571428571428</v>
      </c>
      <c r="V14" s="6">
        <v>65607.142857142855</v>
      </c>
      <c r="W14" s="6">
        <v>28875.017857142851</v>
      </c>
      <c r="X14" s="6">
        <v>19642.857142857141</v>
      </c>
      <c r="Y14" s="16">
        <v>10607.187499999998</v>
      </c>
      <c r="Z14" s="16">
        <v>9821.4285714285706</v>
      </c>
      <c r="AA14" s="6">
        <f t="shared" si="0"/>
        <v>23080.367559523813</v>
      </c>
      <c r="AB14" s="17">
        <f t="shared" si="1"/>
        <v>-0.54042380509563936</v>
      </c>
      <c r="AC14" s="20">
        <f t="shared" si="2"/>
        <v>-13258.938988095242</v>
      </c>
    </row>
    <row r="15" spans="1:29" x14ac:dyDescent="0.25">
      <c r="A15" t="s">
        <v>53</v>
      </c>
      <c r="B15" s="6">
        <v>113508.25892857141</v>
      </c>
      <c r="C15" s="6">
        <v>188292.02678571432</v>
      </c>
      <c r="D15" s="6">
        <v>264304.7232142858</v>
      </c>
      <c r="E15" s="6">
        <v>399965.2589285713</v>
      </c>
      <c r="F15" s="6">
        <v>215078.09821428568</v>
      </c>
      <c r="G15" s="6">
        <v>236979.78571428571</v>
      </c>
      <c r="H15" s="6">
        <v>182021.64285714287</v>
      </c>
      <c r="I15" s="6">
        <v>261090.79464285716</v>
      </c>
      <c r="J15" s="6">
        <v>257197.11607142864</v>
      </c>
      <c r="K15" s="6">
        <v>222842.84821428571</v>
      </c>
      <c r="L15" s="6">
        <v>24772.776785714283</v>
      </c>
      <c r="M15" s="7">
        <v>267254.26785714284</v>
      </c>
      <c r="N15" s="7">
        <v>287151.85714285675</v>
      </c>
      <c r="O15" s="7">
        <v>195637.05357142861</v>
      </c>
      <c r="P15" s="7">
        <v>341277.49999999983</v>
      </c>
      <c r="Q15" s="6">
        <v>167579.42857142858</v>
      </c>
      <c r="R15" s="6">
        <v>228150.80357142858</v>
      </c>
      <c r="S15" s="6">
        <v>185042.02678571435</v>
      </c>
      <c r="T15" s="6">
        <v>356712.53571428551</v>
      </c>
      <c r="U15" s="6">
        <v>193151.91964285713</v>
      </c>
      <c r="V15" s="6">
        <v>277161.69642857148</v>
      </c>
      <c r="W15" s="6">
        <v>220211.52678571426</v>
      </c>
      <c r="X15" s="6">
        <v>380705.91071428551</v>
      </c>
      <c r="Y15" s="16">
        <v>141378.01785714284</v>
      </c>
      <c r="Z15" s="16">
        <v>150183.8125</v>
      </c>
      <c r="AA15" s="6">
        <f t="shared" si="0"/>
        <v>227132.14732142855</v>
      </c>
      <c r="AB15" s="17">
        <f t="shared" si="1"/>
        <v>-0.37755170492413748</v>
      </c>
      <c r="AC15" s="20">
        <f t="shared" si="2"/>
        <v>-76948.334821428551</v>
      </c>
    </row>
    <row r="16" spans="1:29" x14ac:dyDescent="0.25">
      <c r="A16" t="s">
        <v>20</v>
      </c>
      <c r="B16" s="6">
        <v>7166.330357142856</v>
      </c>
      <c r="C16" s="6">
        <v>3124.2857142857142</v>
      </c>
      <c r="D16" s="6">
        <v>8162.1964285714266</v>
      </c>
      <c r="E16" s="6">
        <v>8175.5267857142826</v>
      </c>
      <c r="F16" s="6">
        <v>4803.5892857142853</v>
      </c>
      <c r="G16" s="6">
        <v>5994.7232142857129</v>
      </c>
      <c r="H16" s="6">
        <v>7224.9107142857138</v>
      </c>
      <c r="I16" s="6">
        <v>3833.7589285714284</v>
      </c>
      <c r="J16" s="6">
        <v>3253.5267857142858</v>
      </c>
      <c r="K16" s="6">
        <v>9568.125</v>
      </c>
      <c r="L16" s="6">
        <v>2323.6875</v>
      </c>
      <c r="M16" s="7">
        <v>-17230.339285714283</v>
      </c>
      <c r="N16" s="7">
        <v>995.86607142857133</v>
      </c>
      <c r="O16" s="7">
        <v>2961.5624999999995</v>
      </c>
      <c r="P16" s="7">
        <v>976.33928571428555</v>
      </c>
      <c r="Q16" s="6">
        <v>4491.1607142857147</v>
      </c>
      <c r="R16" s="6">
        <v>4295.8928571428569</v>
      </c>
      <c r="S16" s="6">
        <v>11130.267857142855</v>
      </c>
      <c r="T16" s="6">
        <v>13704.071428571428</v>
      </c>
      <c r="U16" s="6">
        <v>9802.4464285714275</v>
      </c>
      <c r="V16" s="6">
        <v>10544.464285714286</v>
      </c>
      <c r="W16" s="6">
        <v>5272.2321428571422</v>
      </c>
      <c r="X16" s="6">
        <v>4295.8928571428569</v>
      </c>
      <c r="Y16" s="16">
        <v>7420.1785714285716</v>
      </c>
      <c r="Z16" s="16">
        <v>2929.0178571428569</v>
      </c>
      <c r="AA16" s="6">
        <f t="shared" si="0"/>
        <v>6710.705357142856</v>
      </c>
      <c r="AB16" s="17">
        <f t="shared" si="1"/>
        <v>0.10572259941804085</v>
      </c>
      <c r="AC16" s="20">
        <f t="shared" si="2"/>
        <v>-3781.6874999999991</v>
      </c>
    </row>
    <row r="17" spans="1:29" x14ac:dyDescent="0.25">
      <c r="A17" t="s">
        <v>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7">
        <v>1434.8214285714284</v>
      </c>
      <c r="P17" s="7">
        <v>10269.767857142857</v>
      </c>
      <c r="Q17" s="7"/>
      <c r="R17" s="7">
        <v>3712.4999999999995</v>
      </c>
      <c r="S17" s="7">
        <v>1603.1249999999998</v>
      </c>
      <c r="T17" s="6">
        <v>1139.0624999999998</v>
      </c>
      <c r="U17" s="6">
        <v>5821.875</v>
      </c>
      <c r="V17" s="6">
        <v>16790.625</v>
      </c>
      <c r="W17" s="6">
        <v>5357.8125</v>
      </c>
      <c r="X17" s="6">
        <v>2489.0624999999995</v>
      </c>
      <c r="Y17" s="16">
        <v>8142.1874999999982</v>
      </c>
      <c r="Z17" s="16"/>
      <c r="AA17" s="6">
        <f t="shared" si="0"/>
        <v>6433.59375</v>
      </c>
      <c r="AB17" s="17">
        <f t="shared" si="1"/>
        <v>0.26557377049180309</v>
      </c>
      <c r="AC17" s="20">
        <f t="shared" si="2"/>
        <v>-6433.59375</v>
      </c>
    </row>
    <row r="18" spans="1:29" x14ac:dyDescent="0.25">
      <c r="A18" t="s">
        <v>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  <c r="T18" s="6">
        <v>6696.4285714285706</v>
      </c>
      <c r="U18" s="6">
        <v>3348.2142857142853</v>
      </c>
      <c r="V18" s="6">
        <v>6696.4285714285706</v>
      </c>
      <c r="W18" s="6">
        <v>30133.928571428572</v>
      </c>
      <c r="X18" s="6">
        <v>6696.4285714285706</v>
      </c>
      <c r="Y18" s="6">
        <v>0</v>
      </c>
      <c r="Z18" s="6">
        <v>3348.2142857142853</v>
      </c>
      <c r="AA18" s="6">
        <f t="shared" si="0"/>
        <v>8370.5357142857138</v>
      </c>
      <c r="AB18" s="17">
        <f t="shared" si="1"/>
        <v>-1</v>
      </c>
      <c r="AC18" s="20">
        <f t="shared" si="2"/>
        <v>-5022.3214285714284</v>
      </c>
    </row>
    <row r="19" spans="1:29" x14ac:dyDescent="0.25">
      <c r="A19" t="s">
        <v>24</v>
      </c>
      <c r="B19" s="6">
        <v>788.49107142857133</v>
      </c>
      <c r="C19" s="6"/>
      <c r="D19" s="6">
        <v>3679.6249999999995</v>
      </c>
      <c r="E19" s="6">
        <v>499.37499999999994</v>
      </c>
      <c r="F19" s="6">
        <v>525.66071428571422</v>
      </c>
      <c r="G19" s="6">
        <v>2680.8749999999995</v>
      </c>
      <c r="H19" s="6">
        <v>716.37499999999989</v>
      </c>
      <c r="I19" s="6">
        <v>-3419.1875</v>
      </c>
      <c r="J19" s="6">
        <v>-3416.7678571428569</v>
      </c>
      <c r="K19" s="6">
        <v>1472.5</v>
      </c>
      <c r="L19" s="6">
        <v>572.142857142857</v>
      </c>
      <c r="M19" s="6">
        <v>576</v>
      </c>
      <c r="N19" s="7">
        <v>518.28571428571422</v>
      </c>
      <c r="O19" s="7">
        <v>2141.4017857142853</v>
      </c>
      <c r="P19" s="7">
        <v>-955.75</v>
      </c>
      <c r="Q19" s="7"/>
      <c r="R19" s="7">
        <v>-525.66071428571422</v>
      </c>
      <c r="S19" s="7"/>
      <c r="T19" s="6"/>
      <c r="U19" s="6"/>
      <c r="V19" s="6"/>
      <c r="W19" s="6"/>
      <c r="X19" s="6"/>
      <c r="Y19" s="6"/>
      <c r="Z19" s="6"/>
      <c r="AA19" s="6">
        <f t="shared" si="0"/>
        <v>0</v>
      </c>
      <c r="AB19" s="17" t="e">
        <f t="shared" si="1"/>
        <v>#DIV/0!</v>
      </c>
      <c r="AC19" s="20">
        <f t="shared" si="2"/>
        <v>0</v>
      </c>
    </row>
    <row r="20" spans="1:29" x14ac:dyDescent="0.25">
      <c r="A20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v>-367.42857142857139</v>
      </c>
      <c r="M20" s="6">
        <v>-1078.3125</v>
      </c>
      <c r="N20" s="7"/>
      <c r="O20" s="7"/>
      <c r="P20" s="7"/>
      <c r="Q20" s="7"/>
      <c r="R20" s="7"/>
      <c r="S20" s="7"/>
      <c r="T20" s="6"/>
      <c r="U20" s="6"/>
      <c r="V20" s="6"/>
      <c r="W20" s="6"/>
      <c r="X20" s="6"/>
      <c r="Y20" s="6"/>
      <c r="Z20" s="6"/>
      <c r="AA20" s="6">
        <f t="shared" si="0"/>
        <v>0</v>
      </c>
      <c r="AB20" s="17" t="e">
        <f t="shared" si="1"/>
        <v>#DIV/0!</v>
      </c>
      <c r="AC20" s="20">
        <f t="shared" si="2"/>
        <v>0</v>
      </c>
    </row>
    <row r="21" spans="1:29" x14ac:dyDescent="0.25">
      <c r="A21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>
        <v>-583.08035714285711</v>
      </c>
      <c r="L21" s="6"/>
      <c r="M21" s="6">
        <v>-2187.2767857142853</v>
      </c>
      <c r="N21" s="7"/>
      <c r="O21" s="7"/>
      <c r="P21" s="7"/>
      <c r="Q21" s="7"/>
      <c r="R21" s="7"/>
      <c r="S21" s="7"/>
      <c r="T21" s="6"/>
      <c r="U21" s="6"/>
      <c r="V21" s="6"/>
      <c r="W21" s="6"/>
      <c r="X21" s="6"/>
      <c r="Y21" s="6"/>
      <c r="Z21" s="6"/>
      <c r="AA21" s="6">
        <f t="shared" si="0"/>
        <v>0</v>
      </c>
      <c r="AB21" s="17" t="e">
        <f t="shared" si="1"/>
        <v>#DIV/0!</v>
      </c>
      <c r="AC21" s="20">
        <f t="shared" si="2"/>
        <v>0</v>
      </c>
    </row>
    <row r="22" spans="1:29" x14ac:dyDescent="0.25">
      <c r="A22" t="s">
        <v>28</v>
      </c>
      <c r="B22" s="6">
        <v>13996.249999999996</v>
      </c>
      <c r="C22" s="6">
        <v>448.59821428571422</v>
      </c>
      <c r="D22" s="6"/>
      <c r="E22" s="6">
        <v>19110.151785714286</v>
      </c>
      <c r="F22" s="6">
        <v>3947.6428571428569</v>
      </c>
      <c r="G22" s="6">
        <v>12829.883928571428</v>
      </c>
      <c r="H22" s="6">
        <v>9599.9910714285706</v>
      </c>
      <c r="I22" s="6">
        <v>5297.7678571428569</v>
      </c>
      <c r="J22" s="6">
        <v>8224.2767857142862</v>
      </c>
      <c r="K22" s="6">
        <v>16871.508928571428</v>
      </c>
      <c r="L22" s="6">
        <v>6280.4017857142844</v>
      </c>
      <c r="M22" s="6">
        <v>31133.107142857141</v>
      </c>
      <c r="N22" s="7">
        <v>9125.6785714285706</v>
      </c>
      <c r="O22" s="7">
        <v>6190.6517857142844</v>
      </c>
      <c r="P22" s="7">
        <v>897.19642857142844</v>
      </c>
      <c r="Q22" s="7">
        <v>3409.3392857142853</v>
      </c>
      <c r="R22" s="7">
        <v>63790.669642857145</v>
      </c>
      <c r="S22" s="7">
        <v>3409.3571428571422</v>
      </c>
      <c r="T22" s="6">
        <v>-897.16964285714266</v>
      </c>
      <c r="U22" s="6">
        <v>9779.4374999999982</v>
      </c>
      <c r="V22" s="6">
        <v>3140.1874999999995</v>
      </c>
      <c r="W22" s="6">
        <v>3030.8571428571422</v>
      </c>
      <c r="X22" s="6">
        <v>897.19642857142844</v>
      </c>
      <c r="Y22" s="6">
        <v>4485.9821428571422</v>
      </c>
      <c r="Z22" s="6">
        <v>1914.8035714285713</v>
      </c>
      <c r="AA22" s="6">
        <f t="shared" si="0"/>
        <v>3874.7440476190473</v>
      </c>
      <c r="AB22" s="17">
        <f t="shared" si="1"/>
        <v>0.15774928297875279</v>
      </c>
      <c r="AC22" s="20">
        <f t="shared" si="2"/>
        <v>-1959.9404761904759</v>
      </c>
    </row>
    <row r="23" spans="1:29" x14ac:dyDescent="0.25">
      <c r="A23" t="s">
        <v>55</v>
      </c>
      <c r="B23" s="6"/>
      <c r="C23" s="6"/>
      <c r="D23" s="6">
        <v>-16503.874999999996</v>
      </c>
      <c r="E23" s="6">
        <v>-22636.392857142848</v>
      </c>
      <c r="F23" s="6"/>
      <c r="G23" s="6">
        <v>-1188.8839285714284</v>
      </c>
      <c r="H23" s="6">
        <v>-112584.50892857142</v>
      </c>
      <c r="I23" s="6"/>
      <c r="J23" s="6"/>
      <c r="K23" s="6">
        <v>-1188.8839285714284</v>
      </c>
      <c r="L23" s="6"/>
      <c r="M23" s="6"/>
      <c r="N23" s="7"/>
      <c r="O23" s="7"/>
      <c r="P23" s="7"/>
      <c r="Q23" s="7"/>
      <c r="R23" s="7"/>
      <c r="S23" s="7"/>
      <c r="T23" s="6"/>
      <c r="U23" s="6"/>
      <c r="V23" s="6"/>
      <c r="W23" s="6"/>
      <c r="X23" s="6"/>
      <c r="Y23" s="6"/>
      <c r="Z23" s="6"/>
      <c r="AA23" s="6">
        <f t="shared" si="0"/>
        <v>0</v>
      </c>
      <c r="AB23" s="17" t="e">
        <f t="shared" si="1"/>
        <v>#DIV/0!</v>
      </c>
      <c r="AC23" s="20">
        <f t="shared" si="2"/>
        <v>0</v>
      </c>
    </row>
    <row r="24" spans="1:29" x14ac:dyDescent="0.25">
      <c r="A24" t="s">
        <v>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-5996.5357142857138</v>
      </c>
      <c r="N24" s="7"/>
      <c r="O24" s="7"/>
      <c r="P24" s="7"/>
      <c r="Q24" s="7"/>
      <c r="R24" s="7"/>
      <c r="S24" s="7"/>
      <c r="T24" s="6"/>
      <c r="U24" s="6"/>
      <c r="V24" s="6"/>
      <c r="W24" s="6"/>
      <c r="X24" s="6"/>
      <c r="Y24" s="6"/>
      <c r="Z24" s="6"/>
      <c r="AA24" s="6">
        <f t="shared" si="0"/>
        <v>0</v>
      </c>
      <c r="AB24" s="17" t="e">
        <f t="shared" si="1"/>
        <v>#DIV/0!</v>
      </c>
      <c r="AC24" s="20">
        <f t="shared" si="2"/>
        <v>0</v>
      </c>
    </row>
    <row r="25" spans="1:29" x14ac:dyDescent="0.25">
      <c r="A25" s="3" t="s">
        <v>33</v>
      </c>
      <c r="B25" s="10">
        <v>2412353.3571428573</v>
      </c>
      <c r="C25" s="10">
        <v>2677038.0178571427</v>
      </c>
      <c r="D25" s="10">
        <v>2426500.7053571432</v>
      </c>
      <c r="E25" s="10">
        <v>3697089.7321428559</v>
      </c>
      <c r="F25" s="10">
        <v>2857230.6696428563</v>
      </c>
      <c r="G25" s="10">
        <v>2665833.4375000009</v>
      </c>
      <c r="H25" s="10">
        <v>2684806.0803571423</v>
      </c>
      <c r="I25" s="10">
        <v>3757059.1874999995</v>
      </c>
      <c r="J25" s="10">
        <v>3120823.5000000005</v>
      </c>
      <c r="K25" s="10">
        <v>2663882.9821428573</v>
      </c>
      <c r="L25" s="10">
        <v>2366842.3571428563</v>
      </c>
      <c r="M25" s="10">
        <v>5670697.0714285728</v>
      </c>
      <c r="N25" s="10">
        <f>SUM(N4:N24)</f>
        <v>3194805.0446428573</v>
      </c>
      <c r="O25" s="10">
        <f t="shared" ref="O25:Z25" si="3">SUM(O4:O24)</f>
        <v>3155027.4196428549</v>
      </c>
      <c r="P25" s="10">
        <f t="shared" si="3"/>
        <v>3044928.4285714286</v>
      </c>
      <c r="Q25" s="10">
        <f t="shared" si="3"/>
        <v>2379589.776785715</v>
      </c>
      <c r="R25" s="10">
        <f t="shared" si="3"/>
        <v>2473492.8392857141</v>
      </c>
      <c r="S25" s="10">
        <f t="shared" si="3"/>
        <v>2635659.1428571432</v>
      </c>
      <c r="T25" s="10">
        <f t="shared" si="3"/>
        <v>3137978.3482142859</v>
      </c>
      <c r="U25" s="10">
        <f t="shared" si="3"/>
        <v>2614515.6696428573</v>
      </c>
      <c r="V25" s="10">
        <f t="shared" si="3"/>
        <v>3652543.8839285714</v>
      </c>
      <c r="W25" s="10">
        <f t="shared" si="3"/>
        <v>3611417.5535714282</v>
      </c>
      <c r="X25" s="10">
        <f t="shared" si="3"/>
        <v>4528671.0803571427</v>
      </c>
      <c r="Y25" s="10">
        <f t="shared" si="3"/>
        <v>1104331.0892857143</v>
      </c>
      <c r="Z25" s="10">
        <f t="shared" si="3"/>
        <v>2848483.1785714286</v>
      </c>
      <c r="AA25" s="6">
        <f t="shared" si="0"/>
        <v>3059993.7425595238</v>
      </c>
      <c r="AB25" s="17">
        <f t="shared" si="1"/>
        <v>-0.6391067491654413</v>
      </c>
      <c r="AC25" s="20">
        <f t="shared" si="2"/>
        <v>-211510.56398809515</v>
      </c>
    </row>
    <row r="26" spans="1:29" x14ac:dyDescent="0.25">
      <c r="AA26" s="6">
        <f t="shared" ref="AA26" si="4">SUM(R26:W26)/6</f>
        <v>0</v>
      </c>
    </row>
    <row r="27" spans="1:29" x14ac:dyDescent="0.25">
      <c r="A27" s="1" t="s">
        <v>63</v>
      </c>
    </row>
    <row r="28" spans="1:29" x14ac:dyDescent="0.25">
      <c r="A28" s="1" t="s">
        <v>34</v>
      </c>
    </row>
    <row r="29" spans="1:29" x14ac:dyDescent="0.25">
      <c r="A29" s="3" t="s">
        <v>2</v>
      </c>
      <c r="B29" s="3">
        <v>1</v>
      </c>
      <c r="C29" s="3">
        <v>2</v>
      </c>
      <c r="D29" s="3">
        <v>3</v>
      </c>
      <c r="E29" s="3">
        <v>4</v>
      </c>
      <c r="F29" s="3">
        <v>5</v>
      </c>
      <c r="G29" s="3">
        <v>6</v>
      </c>
      <c r="H29" s="3">
        <v>7</v>
      </c>
      <c r="I29" s="3">
        <v>8</v>
      </c>
      <c r="J29" s="3">
        <v>9</v>
      </c>
      <c r="K29" s="3">
        <v>10</v>
      </c>
      <c r="L29" s="3">
        <v>11</v>
      </c>
      <c r="M29" s="3">
        <v>12</v>
      </c>
      <c r="N29" s="3">
        <v>1</v>
      </c>
      <c r="O29" s="3">
        <v>2</v>
      </c>
      <c r="P29" s="3">
        <v>3</v>
      </c>
      <c r="Q29" s="3">
        <v>4</v>
      </c>
      <c r="R29" s="3">
        <v>5</v>
      </c>
      <c r="S29" s="3">
        <v>6</v>
      </c>
      <c r="T29" s="3">
        <v>7</v>
      </c>
      <c r="U29" s="3">
        <v>8</v>
      </c>
      <c r="V29" s="3">
        <v>9</v>
      </c>
      <c r="W29" s="3">
        <v>10</v>
      </c>
      <c r="X29" s="3">
        <v>11</v>
      </c>
      <c r="Y29" s="3">
        <v>12</v>
      </c>
      <c r="Z29" s="3">
        <v>1</v>
      </c>
      <c r="AA29" s="4" t="s">
        <v>3</v>
      </c>
      <c r="AB29" s="4" t="s">
        <v>4</v>
      </c>
      <c r="AC29" s="4" t="s">
        <v>5</v>
      </c>
    </row>
    <row r="30" spans="1:29" x14ac:dyDescent="0.25">
      <c r="A30" t="s">
        <v>41</v>
      </c>
      <c r="B30" s="6">
        <v>707</v>
      </c>
      <c r="C30" s="6">
        <v>1017</v>
      </c>
      <c r="D30" s="6">
        <v>1151</v>
      </c>
      <c r="E30" s="6">
        <v>1305</v>
      </c>
      <c r="F30" s="6">
        <v>896</v>
      </c>
      <c r="G30" s="6">
        <v>1059</v>
      </c>
      <c r="H30" s="6">
        <v>752</v>
      </c>
      <c r="I30" s="6">
        <v>1328</v>
      </c>
      <c r="J30" s="6">
        <v>857</v>
      </c>
      <c r="K30" s="6">
        <v>738</v>
      </c>
      <c r="L30" s="6">
        <v>409</v>
      </c>
      <c r="M30" s="7">
        <v>2253</v>
      </c>
      <c r="N30" s="7">
        <v>1270</v>
      </c>
      <c r="O30" s="7">
        <v>5</v>
      </c>
      <c r="P30" s="7">
        <v>910</v>
      </c>
      <c r="Q30" s="6">
        <v>793</v>
      </c>
      <c r="R30" s="6">
        <v>716</v>
      </c>
      <c r="S30" s="6">
        <v>877</v>
      </c>
      <c r="T30" s="6">
        <v>931</v>
      </c>
      <c r="U30" s="6">
        <v>826</v>
      </c>
      <c r="V30" s="6">
        <v>876</v>
      </c>
      <c r="W30" s="6">
        <v>927</v>
      </c>
      <c r="X30" s="16">
        <v>3145</v>
      </c>
      <c r="Y30" s="16">
        <v>-463</v>
      </c>
      <c r="Z30" s="16">
        <v>589</v>
      </c>
      <c r="AA30" s="6">
        <f t="shared" ref="AA30:AA51" si="5">SUM(U30:Z30)/6</f>
        <v>983.33333333333337</v>
      </c>
      <c r="AB30" s="17">
        <f t="shared" ref="AB30:AB51" si="6">Y30/AA30-1</f>
        <v>-1.4708474576271187</v>
      </c>
      <c r="AC30" s="20">
        <f t="shared" ref="AC30:AC51" si="7">Z30-AA30</f>
        <v>-394.33333333333337</v>
      </c>
    </row>
    <row r="31" spans="1:29" x14ac:dyDescent="0.25">
      <c r="A31" t="s">
        <v>44</v>
      </c>
      <c r="B31" s="6">
        <v>626</v>
      </c>
      <c r="C31" s="6">
        <v>518</v>
      </c>
      <c r="D31" s="6">
        <v>649</v>
      </c>
      <c r="E31" s="6">
        <v>770</v>
      </c>
      <c r="F31" s="6">
        <v>900</v>
      </c>
      <c r="G31" s="6">
        <v>678</v>
      </c>
      <c r="H31" s="6">
        <v>625</v>
      </c>
      <c r="I31" s="6">
        <v>1036</v>
      </c>
      <c r="J31" s="6">
        <v>839</v>
      </c>
      <c r="K31" s="6">
        <v>904</v>
      </c>
      <c r="L31" s="6">
        <v>1046</v>
      </c>
      <c r="M31" s="7">
        <v>931</v>
      </c>
      <c r="N31" s="7">
        <v>680</v>
      </c>
      <c r="O31" s="7">
        <v>1277</v>
      </c>
      <c r="P31" s="7">
        <v>778</v>
      </c>
      <c r="Q31" s="6">
        <v>643</v>
      </c>
      <c r="R31" s="6">
        <v>609</v>
      </c>
      <c r="S31" s="6">
        <v>702</v>
      </c>
      <c r="T31" s="6">
        <v>742</v>
      </c>
      <c r="U31" s="6">
        <v>887</v>
      </c>
      <c r="V31" s="6">
        <v>900</v>
      </c>
      <c r="W31" s="6">
        <v>953</v>
      </c>
      <c r="X31" s="16">
        <v>862</v>
      </c>
      <c r="Y31" s="16">
        <v>307</v>
      </c>
      <c r="Z31" s="16">
        <v>826</v>
      </c>
      <c r="AA31" s="6">
        <f t="shared" si="5"/>
        <v>789.16666666666663</v>
      </c>
      <c r="AB31" s="17">
        <f t="shared" si="6"/>
        <v>-0.6109820485744456</v>
      </c>
      <c r="AC31" s="20">
        <f t="shared" si="7"/>
        <v>36.833333333333371</v>
      </c>
    </row>
    <row r="32" spans="1:29" x14ac:dyDescent="0.25">
      <c r="A32" t="s">
        <v>10</v>
      </c>
      <c r="B32" s="6">
        <v>259</v>
      </c>
      <c r="C32" s="6">
        <v>369</v>
      </c>
      <c r="D32" s="6">
        <v>70</v>
      </c>
      <c r="E32" s="6">
        <v>509</v>
      </c>
      <c r="F32" s="6">
        <v>212</v>
      </c>
      <c r="G32" s="6">
        <v>196</v>
      </c>
      <c r="H32" s="6">
        <v>129</v>
      </c>
      <c r="I32" s="6">
        <v>299</v>
      </c>
      <c r="J32" s="6">
        <v>281</v>
      </c>
      <c r="K32" s="6">
        <v>140</v>
      </c>
      <c r="L32" s="6">
        <v>179</v>
      </c>
      <c r="M32" s="7">
        <v>1227</v>
      </c>
      <c r="N32" s="7">
        <v>345</v>
      </c>
      <c r="O32" s="7">
        <v>213</v>
      </c>
      <c r="P32" s="7">
        <v>161</v>
      </c>
      <c r="Q32" s="6">
        <v>128</v>
      </c>
      <c r="R32" s="6">
        <v>162</v>
      </c>
      <c r="S32" s="6">
        <v>153</v>
      </c>
      <c r="T32" s="6">
        <v>313</v>
      </c>
      <c r="U32" s="6">
        <v>196</v>
      </c>
      <c r="V32" s="6">
        <v>242</v>
      </c>
      <c r="W32" s="6">
        <v>214</v>
      </c>
      <c r="X32" s="16">
        <v>212</v>
      </c>
      <c r="Y32" s="16">
        <v>192</v>
      </c>
      <c r="Z32" s="16">
        <v>211</v>
      </c>
      <c r="AA32" s="6">
        <f t="shared" si="5"/>
        <v>211.16666666666666</v>
      </c>
      <c r="AB32" s="17">
        <f t="shared" si="6"/>
        <v>-9.0765588003157038E-2</v>
      </c>
      <c r="AC32" s="20">
        <f t="shared" si="7"/>
        <v>-0.16666666666665719</v>
      </c>
    </row>
    <row r="33" spans="1:29" x14ac:dyDescent="0.25">
      <c r="A33" t="s">
        <v>47</v>
      </c>
      <c r="B33" s="6">
        <v>55</v>
      </c>
      <c r="C33" s="6">
        <v>200</v>
      </c>
      <c r="D33" s="6">
        <v>79</v>
      </c>
      <c r="E33" s="6">
        <v>301</v>
      </c>
      <c r="F33" s="6">
        <v>142</v>
      </c>
      <c r="G33" s="6">
        <v>118</v>
      </c>
      <c r="H33" s="6">
        <v>160</v>
      </c>
      <c r="I33" s="6">
        <v>190</v>
      </c>
      <c r="J33" s="6">
        <v>138</v>
      </c>
      <c r="K33" s="6">
        <v>87</v>
      </c>
      <c r="L33" s="6">
        <v>74</v>
      </c>
      <c r="M33" s="7">
        <v>628</v>
      </c>
      <c r="N33" s="7">
        <v>183</v>
      </c>
      <c r="O33" s="7">
        <v>34</v>
      </c>
      <c r="P33" s="7">
        <v>196</v>
      </c>
      <c r="Q33" s="6">
        <v>240</v>
      </c>
      <c r="R33" s="6">
        <v>173</v>
      </c>
      <c r="S33" s="6">
        <v>192</v>
      </c>
      <c r="T33" s="6">
        <v>247</v>
      </c>
      <c r="U33" s="6">
        <v>92</v>
      </c>
      <c r="V33" s="6">
        <v>259</v>
      </c>
      <c r="W33" s="6">
        <v>256</v>
      </c>
      <c r="X33" s="16">
        <v>233</v>
      </c>
      <c r="Y33" s="16">
        <v>139</v>
      </c>
      <c r="Z33" s="16">
        <v>304</v>
      </c>
      <c r="AA33" s="6">
        <f t="shared" si="5"/>
        <v>213.83333333333334</v>
      </c>
      <c r="AB33" s="17">
        <f t="shared" si="6"/>
        <v>-0.34996102883865943</v>
      </c>
      <c r="AC33" s="20">
        <f t="shared" si="7"/>
        <v>90.166666666666657</v>
      </c>
    </row>
    <row r="34" spans="1:29" x14ac:dyDescent="0.25">
      <c r="A34" t="s">
        <v>49</v>
      </c>
      <c r="B34" s="6">
        <v>709</v>
      </c>
      <c r="C34" s="6">
        <v>470</v>
      </c>
      <c r="D34" s="6">
        <v>432</v>
      </c>
      <c r="E34" s="6">
        <v>308</v>
      </c>
      <c r="F34" s="6">
        <v>422</v>
      </c>
      <c r="G34" s="6">
        <v>407</v>
      </c>
      <c r="H34" s="6">
        <v>823</v>
      </c>
      <c r="I34" s="6">
        <v>703</v>
      </c>
      <c r="J34" s="6">
        <v>674</v>
      </c>
      <c r="K34" s="6">
        <v>521</v>
      </c>
      <c r="L34" s="6">
        <v>662</v>
      </c>
      <c r="M34" s="7">
        <v>745</v>
      </c>
      <c r="N34" s="7">
        <v>685</v>
      </c>
      <c r="O34" s="7">
        <v>956</v>
      </c>
      <c r="P34" s="7">
        <v>528</v>
      </c>
      <c r="Q34" s="6">
        <v>478</v>
      </c>
      <c r="R34" s="6">
        <v>447</v>
      </c>
      <c r="S34" s="6">
        <v>483</v>
      </c>
      <c r="T34" s="6">
        <v>391</v>
      </c>
      <c r="U34" s="6">
        <v>461</v>
      </c>
      <c r="V34" s="6">
        <v>754</v>
      </c>
      <c r="W34" s="6">
        <v>691</v>
      </c>
      <c r="X34" s="16">
        <v>560</v>
      </c>
      <c r="Y34" s="16">
        <v>250</v>
      </c>
      <c r="Z34" s="16">
        <v>404</v>
      </c>
      <c r="AA34" s="6">
        <f t="shared" si="5"/>
        <v>520</v>
      </c>
      <c r="AB34" s="17">
        <f t="shared" si="6"/>
        <v>-0.51923076923076916</v>
      </c>
      <c r="AC34" s="20">
        <f t="shared" si="7"/>
        <v>-116</v>
      </c>
    </row>
    <row r="35" spans="1:29" x14ac:dyDescent="0.25">
      <c r="A35" t="s">
        <v>13</v>
      </c>
      <c r="B35" s="6">
        <v>596</v>
      </c>
      <c r="C35" s="6">
        <v>1244</v>
      </c>
      <c r="D35" s="6">
        <v>445</v>
      </c>
      <c r="E35" s="6">
        <v>1201</v>
      </c>
      <c r="F35" s="6">
        <v>864</v>
      </c>
      <c r="G35" s="6">
        <v>661</v>
      </c>
      <c r="H35" s="6">
        <v>590</v>
      </c>
      <c r="I35" s="6">
        <v>706</v>
      </c>
      <c r="J35" s="6">
        <v>949</v>
      </c>
      <c r="K35" s="6">
        <v>675</v>
      </c>
      <c r="L35" s="6">
        <v>342</v>
      </c>
      <c r="M35" s="7">
        <v>1597</v>
      </c>
      <c r="N35" s="7">
        <v>397</v>
      </c>
      <c r="O35" s="7">
        <v>727</v>
      </c>
      <c r="P35" s="7">
        <v>694</v>
      </c>
      <c r="Q35" s="6">
        <v>79</v>
      </c>
      <c r="R35" s="6">
        <v>269</v>
      </c>
      <c r="S35" s="6">
        <v>538</v>
      </c>
      <c r="T35" s="6">
        <v>935</v>
      </c>
      <c r="U35" s="6">
        <v>215</v>
      </c>
      <c r="V35" s="6">
        <v>898</v>
      </c>
      <c r="W35" s="6">
        <v>772</v>
      </c>
      <c r="X35" s="16">
        <v>796</v>
      </c>
      <c r="Y35" s="16">
        <v>244</v>
      </c>
      <c r="Z35" s="16">
        <v>1055</v>
      </c>
      <c r="AA35" s="6">
        <f t="shared" si="5"/>
        <v>663.33333333333337</v>
      </c>
      <c r="AB35" s="17">
        <f t="shared" si="6"/>
        <v>-0.63216080402010055</v>
      </c>
      <c r="AC35" s="20">
        <f t="shared" si="7"/>
        <v>391.66666666666663</v>
      </c>
    </row>
    <row r="36" spans="1:29" x14ac:dyDescent="0.25">
      <c r="A36" t="s">
        <v>50</v>
      </c>
      <c r="B36" s="6">
        <v>38</v>
      </c>
      <c r="C36" s="6">
        <v>78</v>
      </c>
      <c r="D36" s="6">
        <v>48</v>
      </c>
      <c r="E36" s="6">
        <v>127</v>
      </c>
      <c r="F36" s="6">
        <v>37</v>
      </c>
      <c r="G36" s="6">
        <v>4</v>
      </c>
      <c r="H36" s="6">
        <v>27</v>
      </c>
      <c r="I36" s="6">
        <v>70</v>
      </c>
      <c r="J36" s="6">
        <v>26</v>
      </c>
      <c r="K36" s="6">
        <v>53</v>
      </c>
      <c r="L36" s="6">
        <v>12</v>
      </c>
      <c r="M36" s="7">
        <v>163</v>
      </c>
      <c r="N36" s="7">
        <v>80</v>
      </c>
      <c r="O36" s="7">
        <v>18</v>
      </c>
      <c r="P36" s="7">
        <v>-7</v>
      </c>
      <c r="Q36" s="6">
        <v>22</v>
      </c>
      <c r="R36" s="6">
        <v>65</v>
      </c>
      <c r="S36" s="6">
        <v>13</v>
      </c>
      <c r="T36" s="6">
        <v>54</v>
      </c>
      <c r="U36" s="6">
        <v>10</v>
      </c>
      <c r="V36" s="6">
        <v>53</v>
      </c>
      <c r="W36" s="6">
        <v>25</v>
      </c>
      <c r="X36" s="16">
        <v>61</v>
      </c>
      <c r="Y36" s="16">
        <v>22</v>
      </c>
      <c r="Z36" s="16"/>
      <c r="AA36" s="6">
        <f t="shared" si="5"/>
        <v>28.5</v>
      </c>
      <c r="AB36" s="17">
        <f t="shared" si="6"/>
        <v>-0.22807017543859653</v>
      </c>
      <c r="AC36" s="20">
        <f t="shared" si="7"/>
        <v>-28.5</v>
      </c>
    </row>
    <row r="37" spans="1:29" x14ac:dyDescent="0.25">
      <c r="A37" t="s">
        <v>51</v>
      </c>
      <c r="B37" s="6">
        <v>130</v>
      </c>
      <c r="C37" s="6">
        <v>103</v>
      </c>
      <c r="D37" s="6">
        <v>64</v>
      </c>
      <c r="E37" s="6">
        <v>237</v>
      </c>
      <c r="F37" s="6">
        <v>113</v>
      </c>
      <c r="G37" s="6">
        <v>59</v>
      </c>
      <c r="H37" s="6">
        <v>16</v>
      </c>
      <c r="I37" s="6">
        <v>78</v>
      </c>
      <c r="J37" s="6">
        <v>61</v>
      </c>
      <c r="K37" s="6">
        <v>17</v>
      </c>
      <c r="L37" s="6">
        <v>26</v>
      </c>
      <c r="M37" s="7">
        <v>478</v>
      </c>
      <c r="N37" s="7">
        <v>96</v>
      </c>
      <c r="O37" s="7">
        <v>93</v>
      </c>
      <c r="P37" s="7">
        <v>48</v>
      </c>
      <c r="Q37" s="6">
        <v>37</v>
      </c>
      <c r="R37" s="6">
        <v>38</v>
      </c>
      <c r="S37" s="6">
        <v>94</v>
      </c>
      <c r="T37" s="6">
        <v>96</v>
      </c>
      <c r="U37" s="6">
        <v>10</v>
      </c>
      <c r="V37" s="6">
        <v>42</v>
      </c>
      <c r="W37" s="6">
        <v>37</v>
      </c>
      <c r="X37" s="16">
        <v>47</v>
      </c>
      <c r="Y37" s="16">
        <v>57</v>
      </c>
      <c r="Z37" s="16">
        <v>44</v>
      </c>
      <c r="AA37" s="6">
        <f t="shared" si="5"/>
        <v>39.5</v>
      </c>
      <c r="AB37" s="17">
        <f t="shared" si="6"/>
        <v>0.44303797468354422</v>
      </c>
      <c r="AC37" s="20">
        <f t="shared" si="7"/>
        <v>4.5</v>
      </c>
    </row>
    <row r="38" spans="1:29" x14ac:dyDescent="0.25">
      <c r="A38" t="s">
        <v>52</v>
      </c>
      <c r="B38" s="6">
        <v>81</v>
      </c>
      <c r="C38" s="6">
        <v>-5</v>
      </c>
      <c r="D38" s="6">
        <v>16</v>
      </c>
      <c r="E38" s="6">
        <v>258</v>
      </c>
      <c r="F38" s="6">
        <v>113</v>
      </c>
      <c r="G38" s="6">
        <v>176</v>
      </c>
      <c r="H38" s="6">
        <v>35</v>
      </c>
      <c r="I38" s="6">
        <v>125</v>
      </c>
      <c r="J38" s="6">
        <v>88</v>
      </c>
      <c r="K38" s="6">
        <v>35</v>
      </c>
      <c r="L38" s="6">
        <v>15</v>
      </c>
      <c r="M38" s="7">
        <v>228</v>
      </c>
      <c r="N38" s="7">
        <v>108</v>
      </c>
      <c r="O38" s="7">
        <v>32</v>
      </c>
      <c r="P38" s="7">
        <v>144</v>
      </c>
      <c r="Q38" s="6">
        <v>60</v>
      </c>
      <c r="R38" s="6">
        <v>105</v>
      </c>
      <c r="S38" s="6">
        <v>1</v>
      </c>
      <c r="T38" s="6">
        <v>58</v>
      </c>
      <c r="U38" s="6">
        <v>272</v>
      </c>
      <c r="V38" s="6">
        <v>116</v>
      </c>
      <c r="W38" s="6">
        <v>357</v>
      </c>
      <c r="X38" s="16">
        <v>160</v>
      </c>
      <c r="Y38" s="16">
        <v>61</v>
      </c>
      <c r="Z38" s="16">
        <v>201</v>
      </c>
      <c r="AA38" s="6">
        <f t="shared" si="5"/>
        <v>194.5</v>
      </c>
      <c r="AB38" s="17">
        <f t="shared" si="6"/>
        <v>-0.68637532133676094</v>
      </c>
      <c r="AC38" s="20">
        <f t="shared" si="7"/>
        <v>6.5</v>
      </c>
    </row>
    <row r="39" spans="1:29" x14ac:dyDescent="0.25">
      <c r="A39" t="s">
        <v>17</v>
      </c>
      <c r="B39" s="6"/>
      <c r="C39" s="6"/>
      <c r="D39" s="6">
        <v>10</v>
      </c>
      <c r="E39" s="6"/>
      <c r="F39" s="6">
        <v>12</v>
      </c>
      <c r="G39" s="6"/>
      <c r="H39" s="6">
        <v>38</v>
      </c>
      <c r="I39" s="6">
        <v>4</v>
      </c>
      <c r="J39" s="6">
        <v>3</v>
      </c>
      <c r="K39" s="6">
        <v>7</v>
      </c>
      <c r="L39" s="6">
        <v>4</v>
      </c>
      <c r="M39" s="7">
        <v>1</v>
      </c>
      <c r="N39" s="7"/>
      <c r="O39" s="7">
        <v>16</v>
      </c>
      <c r="P39" s="7">
        <v>25</v>
      </c>
      <c r="Q39" s="6"/>
      <c r="R39" s="6">
        <v>5</v>
      </c>
      <c r="S39" s="6"/>
      <c r="T39" s="6">
        <v>3</v>
      </c>
      <c r="U39" s="6"/>
      <c r="V39" s="6">
        <v>-1</v>
      </c>
      <c r="W39" s="6">
        <v>3</v>
      </c>
      <c r="X39" s="16"/>
      <c r="Y39" s="16">
        <v>5</v>
      </c>
      <c r="Z39" s="16">
        <v>3</v>
      </c>
      <c r="AA39" s="6">
        <f t="shared" si="5"/>
        <v>1.6666666666666667</v>
      </c>
      <c r="AB39" s="17">
        <f t="shared" si="6"/>
        <v>2</v>
      </c>
      <c r="AC39" s="20">
        <f t="shared" si="7"/>
        <v>1.3333333333333333</v>
      </c>
    </row>
    <row r="40" spans="1:29" x14ac:dyDescent="0.25">
      <c r="A40" t="s">
        <v>18</v>
      </c>
      <c r="B40" s="6"/>
      <c r="C40" s="6"/>
      <c r="D40" s="6"/>
      <c r="E40" s="6"/>
      <c r="F40" s="6"/>
      <c r="G40" s="6"/>
      <c r="H40" s="6"/>
      <c r="I40" s="6">
        <v>36</v>
      </c>
      <c r="J40" s="6"/>
      <c r="K40" s="6"/>
      <c r="L40" s="6"/>
      <c r="M40" s="7">
        <v>24</v>
      </c>
      <c r="N40" s="7">
        <v>1</v>
      </c>
      <c r="O40" s="7"/>
      <c r="P40" s="7">
        <v>2</v>
      </c>
      <c r="Q40" s="6"/>
      <c r="R40" s="6">
        <v>11</v>
      </c>
      <c r="S40" s="6"/>
      <c r="T40" s="6"/>
      <c r="U40" s="6">
        <v>2</v>
      </c>
      <c r="V40" s="6">
        <v>38</v>
      </c>
      <c r="W40" s="6">
        <v>15</v>
      </c>
      <c r="X40" s="16">
        <v>11</v>
      </c>
      <c r="Y40" s="16">
        <v>6</v>
      </c>
      <c r="Z40" s="16">
        <v>6</v>
      </c>
      <c r="AA40" s="6">
        <f t="shared" si="5"/>
        <v>13</v>
      </c>
      <c r="AB40" s="17">
        <f t="shared" si="6"/>
        <v>-0.53846153846153844</v>
      </c>
      <c r="AC40" s="20">
        <f t="shared" si="7"/>
        <v>-7</v>
      </c>
    </row>
    <row r="41" spans="1:29" x14ac:dyDescent="0.25">
      <c r="A41" t="s">
        <v>53</v>
      </c>
      <c r="B41" s="6">
        <v>99</v>
      </c>
      <c r="C41" s="6">
        <v>169</v>
      </c>
      <c r="D41" s="6">
        <v>227</v>
      </c>
      <c r="E41" s="6">
        <v>340</v>
      </c>
      <c r="F41" s="6">
        <v>181</v>
      </c>
      <c r="G41" s="6">
        <v>203</v>
      </c>
      <c r="H41" s="6">
        <v>152</v>
      </c>
      <c r="I41" s="6">
        <v>217</v>
      </c>
      <c r="J41" s="6">
        <v>218</v>
      </c>
      <c r="K41" s="6">
        <v>192</v>
      </c>
      <c r="L41" s="6">
        <v>20</v>
      </c>
      <c r="M41" s="7">
        <v>223</v>
      </c>
      <c r="N41" s="7">
        <v>249</v>
      </c>
      <c r="O41" s="7">
        <v>165</v>
      </c>
      <c r="P41" s="7">
        <v>287</v>
      </c>
      <c r="Q41" s="6">
        <v>140</v>
      </c>
      <c r="R41" s="6">
        <v>196</v>
      </c>
      <c r="S41" s="6">
        <v>152</v>
      </c>
      <c r="T41" s="6">
        <v>302</v>
      </c>
      <c r="U41" s="6">
        <v>167</v>
      </c>
      <c r="V41" s="6">
        <v>235</v>
      </c>
      <c r="W41" s="6">
        <v>186</v>
      </c>
      <c r="X41" s="16">
        <v>321</v>
      </c>
      <c r="Y41" s="16">
        <v>120</v>
      </c>
      <c r="Z41" s="16">
        <v>124</v>
      </c>
      <c r="AA41" s="6">
        <f t="shared" si="5"/>
        <v>192.16666666666666</v>
      </c>
      <c r="AB41" s="17">
        <f t="shared" si="6"/>
        <v>-0.37554206418039893</v>
      </c>
      <c r="AC41" s="20">
        <f t="shared" si="7"/>
        <v>-68.166666666666657</v>
      </c>
    </row>
    <row r="42" spans="1:29" x14ac:dyDescent="0.25">
      <c r="A42" t="s">
        <v>20</v>
      </c>
      <c r="B42" s="6">
        <v>47</v>
      </c>
      <c r="C42" s="6">
        <v>20</v>
      </c>
      <c r="D42" s="6">
        <v>49</v>
      </c>
      <c r="E42" s="6">
        <v>59</v>
      </c>
      <c r="F42" s="6">
        <v>29</v>
      </c>
      <c r="G42" s="6">
        <v>35</v>
      </c>
      <c r="H42" s="6">
        <v>43</v>
      </c>
      <c r="I42" s="6">
        <v>21</v>
      </c>
      <c r="J42" s="6">
        <v>19</v>
      </c>
      <c r="K42" s="6">
        <v>58</v>
      </c>
      <c r="L42" s="6">
        <v>14</v>
      </c>
      <c r="M42" s="7">
        <v>-133</v>
      </c>
      <c r="N42" s="7">
        <v>7</v>
      </c>
      <c r="O42" s="7">
        <v>16</v>
      </c>
      <c r="P42" s="7">
        <v>5</v>
      </c>
      <c r="Q42" s="6">
        <v>26</v>
      </c>
      <c r="R42" s="6">
        <v>24</v>
      </c>
      <c r="S42" s="6">
        <v>63</v>
      </c>
      <c r="T42" s="6">
        <v>74</v>
      </c>
      <c r="U42" s="6">
        <v>53</v>
      </c>
      <c r="V42" s="6">
        <v>61</v>
      </c>
      <c r="W42" s="6">
        <v>32</v>
      </c>
      <c r="X42" s="16">
        <v>26</v>
      </c>
      <c r="Y42" s="16">
        <v>45</v>
      </c>
      <c r="Z42" s="16">
        <v>18</v>
      </c>
      <c r="AA42" s="6">
        <f t="shared" si="5"/>
        <v>39.166666666666664</v>
      </c>
      <c r="AB42" s="17">
        <f t="shared" si="6"/>
        <v>0.14893617021276606</v>
      </c>
      <c r="AC42" s="20">
        <f t="shared" si="7"/>
        <v>-21.166666666666664</v>
      </c>
    </row>
    <row r="43" spans="1:29" x14ac:dyDescent="0.25">
      <c r="A43" t="s">
        <v>21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  <c r="O43" s="7">
        <v>4</v>
      </c>
      <c r="P43" s="7">
        <v>28</v>
      </c>
      <c r="Q43" s="7"/>
      <c r="R43" s="7">
        <v>9</v>
      </c>
      <c r="S43" s="7">
        <v>4</v>
      </c>
      <c r="T43" s="6">
        <v>3</v>
      </c>
      <c r="U43" s="6">
        <v>15</v>
      </c>
      <c r="V43" s="6">
        <v>43</v>
      </c>
      <c r="W43" s="6">
        <v>14</v>
      </c>
      <c r="X43" s="16">
        <v>6</v>
      </c>
      <c r="Y43" s="16">
        <v>21</v>
      </c>
      <c r="Z43" s="16"/>
      <c r="AA43" s="6">
        <f t="shared" si="5"/>
        <v>16.5</v>
      </c>
      <c r="AB43" s="17">
        <f t="shared" si="6"/>
        <v>0.27272727272727271</v>
      </c>
      <c r="AC43" s="20">
        <f t="shared" si="7"/>
        <v>-16.5</v>
      </c>
    </row>
    <row r="44" spans="1:29" x14ac:dyDescent="0.25">
      <c r="A44" t="s">
        <v>22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/>
      <c r="O44" s="7"/>
      <c r="P44" s="7"/>
      <c r="Q44" s="7"/>
      <c r="R44" s="7"/>
      <c r="S44" s="7"/>
      <c r="T44" s="6">
        <v>2</v>
      </c>
      <c r="U44" s="6">
        <v>1</v>
      </c>
      <c r="V44" s="6">
        <v>2</v>
      </c>
      <c r="W44" s="6">
        <v>9</v>
      </c>
      <c r="X44" s="16">
        <v>2</v>
      </c>
      <c r="Y44" s="16">
        <v>0</v>
      </c>
      <c r="Z44" s="16">
        <v>1</v>
      </c>
      <c r="AA44" s="6">
        <f t="shared" si="5"/>
        <v>2.5</v>
      </c>
      <c r="AB44" s="17">
        <f t="shared" si="6"/>
        <v>-1</v>
      </c>
      <c r="AC44" s="20">
        <f t="shared" si="7"/>
        <v>-1.5</v>
      </c>
    </row>
    <row r="45" spans="1:29" x14ac:dyDescent="0.25">
      <c r="A45" t="s">
        <v>24</v>
      </c>
      <c r="B45" s="6">
        <v>3</v>
      </c>
      <c r="C45" s="6"/>
      <c r="D45" s="6">
        <v>15</v>
      </c>
      <c r="E45" s="6">
        <v>2</v>
      </c>
      <c r="F45" s="6">
        <v>2</v>
      </c>
      <c r="G45" s="6">
        <v>11</v>
      </c>
      <c r="H45" s="6">
        <v>3</v>
      </c>
      <c r="I45" s="6">
        <v>-14</v>
      </c>
      <c r="J45" s="6">
        <v>-14</v>
      </c>
      <c r="K45" s="6">
        <v>7</v>
      </c>
      <c r="L45" s="6">
        <v>3</v>
      </c>
      <c r="M45" s="6">
        <v>2</v>
      </c>
      <c r="N45" s="7">
        <v>2</v>
      </c>
      <c r="O45" s="7">
        <v>10</v>
      </c>
      <c r="P45" s="7">
        <v>-4</v>
      </c>
      <c r="Q45" s="7"/>
      <c r="R45" s="7">
        <v>-2</v>
      </c>
      <c r="S45" s="7"/>
      <c r="T45" s="6"/>
      <c r="U45" s="6"/>
      <c r="V45" s="6"/>
      <c r="W45" s="6"/>
      <c r="X45" s="16"/>
      <c r="Y45" s="16"/>
      <c r="Z45" s="16"/>
      <c r="AA45" s="6">
        <f t="shared" si="5"/>
        <v>0</v>
      </c>
      <c r="AB45" s="17" t="e">
        <f t="shared" si="6"/>
        <v>#DIV/0!</v>
      </c>
      <c r="AC45" s="20">
        <f t="shared" si="7"/>
        <v>0</v>
      </c>
    </row>
    <row r="46" spans="1:29" x14ac:dyDescent="0.25">
      <c r="A46" t="s">
        <v>25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v>-1</v>
      </c>
      <c r="M46" s="6">
        <v>-3</v>
      </c>
      <c r="N46" s="7"/>
      <c r="O46" s="7"/>
      <c r="P46" s="7"/>
      <c r="Q46" s="7"/>
      <c r="R46" s="7"/>
      <c r="S46" s="7"/>
      <c r="T46" s="6"/>
      <c r="U46" s="6"/>
      <c r="V46" s="6"/>
      <c r="W46" s="6"/>
      <c r="X46" s="16"/>
      <c r="Y46" s="16"/>
      <c r="Z46" s="16"/>
      <c r="AA46" s="6">
        <f t="shared" si="5"/>
        <v>0</v>
      </c>
      <c r="AB46" s="17" t="e">
        <f t="shared" si="6"/>
        <v>#DIV/0!</v>
      </c>
      <c r="AC46" s="20">
        <f t="shared" si="7"/>
        <v>0</v>
      </c>
    </row>
    <row r="47" spans="1:29" x14ac:dyDescent="0.25">
      <c r="A47" t="s">
        <v>26</v>
      </c>
      <c r="B47" s="6"/>
      <c r="C47" s="6"/>
      <c r="D47" s="6"/>
      <c r="E47" s="6"/>
      <c r="F47" s="6"/>
      <c r="G47" s="6"/>
      <c r="H47" s="6"/>
      <c r="I47" s="6"/>
      <c r="J47" s="6"/>
      <c r="K47" s="6">
        <v>-3</v>
      </c>
      <c r="L47" s="6"/>
      <c r="M47" s="6">
        <v>-11</v>
      </c>
      <c r="N47" s="7"/>
      <c r="O47" s="7"/>
      <c r="P47" s="7"/>
      <c r="Q47" s="7"/>
      <c r="R47" s="7"/>
      <c r="S47" s="7"/>
      <c r="T47" s="6"/>
      <c r="U47" s="6"/>
      <c r="V47" s="6"/>
      <c r="W47" s="6"/>
      <c r="X47" s="16"/>
      <c r="Y47" s="16"/>
      <c r="Z47" s="16"/>
      <c r="AA47" s="6">
        <f t="shared" si="5"/>
        <v>0</v>
      </c>
      <c r="AB47" s="17" t="e">
        <f t="shared" si="6"/>
        <v>#DIV/0!</v>
      </c>
      <c r="AC47" s="20">
        <f t="shared" si="7"/>
        <v>0</v>
      </c>
    </row>
    <row r="48" spans="1:29" x14ac:dyDescent="0.25">
      <c r="A48" t="s">
        <v>28</v>
      </c>
      <c r="B48" s="6">
        <v>36</v>
      </c>
      <c r="C48" s="6">
        <v>1</v>
      </c>
      <c r="D48" s="6"/>
      <c r="E48" s="6">
        <v>50</v>
      </c>
      <c r="F48" s="6">
        <v>10</v>
      </c>
      <c r="G48" s="6">
        <v>33</v>
      </c>
      <c r="H48" s="6">
        <v>23</v>
      </c>
      <c r="I48" s="6">
        <v>15</v>
      </c>
      <c r="J48" s="6">
        <v>21</v>
      </c>
      <c r="K48" s="6">
        <v>47</v>
      </c>
      <c r="L48" s="6">
        <v>16</v>
      </c>
      <c r="M48" s="6">
        <v>72</v>
      </c>
      <c r="N48" s="7">
        <v>27</v>
      </c>
      <c r="O48" s="7">
        <v>15</v>
      </c>
      <c r="P48" s="7">
        <v>2</v>
      </c>
      <c r="Q48" s="7">
        <v>8</v>
      </c>
      <c r="R48" s="7">
        <v>143</v>
      </c>
      <c r="S48" s="7">
        <v>8</v>
      </c>
      <c r="T48" s="6">
        <v>-1</v>
      </c>
      <c r="U48" s="6">
        <v>23</v>
      </c>
      <c r="V48" s="6">
        <v>7</v>
      </c>
      <c r="W48" s="6">
        <v>7</v>
      </c>
      <c r="X48" s="16">
        <v>2</v>
      </c>
      <c r="Y48" s="16">
        <v>11</v>
      </c>
      <c r="Z48" s="16">
        <v>5</v>
      </c>
      <c r="AA48" s="6">
        <f t="shared" si="5"/>
        <v>9.1666666666666661</v>
      </c>
      <c r="AB48" s="17">
        <f t="shared" si="6"/>
        <v>0.20000000000000018</v>
      </c>
      <c r="AC48" s="20">
        <f t="shared" si="7"/>
        <v>-4.1666666666666661</v>
      </c>
    </row>
    <row r="49" spans="1:29" x14ac:dyDescent="0.25">
      <c r="A49" t="s">
        <v>55</v>
      </c>
      <c r="B49" s="6"/>
      <c r="C49" s="6"/>
      <c r="D49" s="6">
        <v>-15</v>
      </c>
      <c r="E49" s="6">
        <v>-22</v>
      </c>
      <c r="F49" s="6"/>
      <c r="G49" s="6">
        <v>-1</v>
      </c>
      <c r="H49" s="6">
        <v>-119</v>
      </c>
      <c r="I49" s="6"/>
      <c r="J49" s="6"/>
      <c r="K49" s="6">
        <v>-1</v>
      </c>
      <c r="L49" s="6"/>
      <c r="M49" s="6"/>
      <c r="N49" s="7"/>
      <c r="O49" s="7"/>
      <c r="P49" s="7"/>
      <c r="Q49" s="7"/>
      <c r="R49" s="7"/>
      <c r="S49" s="7"/>
      <c r="T49" s="6"/>
      <c r="U49" s="6"/>
      <c r="V49" s="6"/>
      <c r="W49" s="6"/>
      <c r="X49" s="6"/>
      <c r="Y49" s="6"/>
      <c r="Z49" s="6"/>
      <c r="AA49" s="6">
        <f t="shared" si="5"/>
        <v>0</v>
      </c>
      <c r="AB49" s="17" t="e">
        <f t="shared" si="6"/>
        <v>#DIV/0!</v>
      </c>
      <c r="AC49" s="20">
        <f t="shared" si="7"/>
        <v>0</v>
      </c>
    </row>
    <row r="50" spans="1:29" x14ac:dyDescent="0.25">
      <c r="A50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-8</v>
      </c>
      <c r="N50" s="7"/>
      <c r="O50" s="7"/>
      <c r="P50" s="7"/>
      <c r="Q50" s="7"/>
      <c r="R50" s="7"/>
      <c r="S50" s="7"/>
      <c r="T50" s="6"/>
      <c r="U50" s="6"/>
      <c r="V50" s="6"/>
      <c r="W50" s="6"/>
      <c r="X50" s="6"/>
      <c r="Y50" s="6"/>
      <c r="Z50" s="6"/>
      <c r="AA50" s="6">
        <f t="shared" si="5"/>
        <v>0</v>
      </c>
      <c r="AB50" s="17" t="e">
        <f t="shared" si="6"/>
        <v>#DIV/0!</v>
      </c>
      <c r="AC50" s="20">
        <f t="shared" si="7"/>
        <v>0</v>
      </c>
    </row>
    <row r="51" spans="1:29" x14ac:dyDescent="0.25">
      <c r="A51" s="3" t="s">
        <v>33</v>
      </c>
      <c r="B51" s="10">
        <v>3386</v>
      </c>
      <c r="C51" s="10">
        <v>4184</v>
      </c>
      <c r="D51" s="10">
        <v>3240</v>
      </c>
      <c r="E51" s="10">
        <v>5445</v>
      </c>
      <c r="F51" s="10">
        <v>3933</v>
      </c>
      <c r="G51" s="10">
        <v>3639</v>
      </c>
      <c r="H51" s="10">
        <v>3297</v>
      </c>
      <c r="I51" s="10">
        <v>4814</v>
      </c>
      <c r="J51" s="10">
        <v>4160</v>
      </c>
      <c r="K51" s="10">
        <v>3477</v>
      </c>
      <c r="L51" s="10">
        <v>2821</v>
      </c>
      <c r="M51" s="10">
        <v>8417</v>
      </c>
      <c r="N51" s="10">
        <f>SUM(N30:N50)</f>
        <v>4130</v>
      </c>
      <c r="O51" s="10">
        <f t="shared" ref="O51" si="8">SUM(O30:O50)</f>
        <v>3581</v>
      </c>
      <c r="P51" s="10">
        <f t="shared" ref="P51" si="9">SUM(P30:P50)</f>
        <v>3797</v>
      </c>
      <c r="Q51" s="10">
        <f t="shared" ref="Q51" si="10">SUM(Q30:Q50)</f>
        <v>2654</v>
      </c>
      <c r="R51" s="10">
        <f t="shared" ref="R51" si="11">SUM(R30:R50)</f>
        <v>2970</v>
      </c>
      <c r="S51" s="10">
        <f t="shared" ref="S51" si="12">SUM(S30:S50)</f>
        <v>3280</v>
      </c>
      <c r="T51" s="10">
        <f t="shared" ref="T51" si="13">SUM(T30:T50)</f>
        <v>4150</v>
      </c>
      <c r="U51" s="10">
        <f t="shared" ref="U51" si="14">SUM(U30:U50)</f>
        <v>3230</v>
      </c>
      <c r="V51" s="10">
        <f t="shared" ref="V51:Z51" si="15">SUM(V30:V50)</f>
        <v>4525</v>
      </c>
      <c r="W51" s="10">
        <f t="shared" si="15"/>
        <v>4498</v>
      </c>
      <c r="X51" s="10">
        <f t="shared" si="15"/>
        <v>6444</v>
      </c>
      <c r="Y51" s="10">
        <f t="shared" si="15"/>
        <v>1017</v>
      </c>
      <c r="Z51" s="10">
        <f t="shared" si="15"/>
        <v>3791</v>
      </c>
      <c r="AA51" s="6">
        <f t="shared" si="5"/>
        <v>3917.5</v>
      </c>
      <c r="AB51" s="17">
        <f t="shared" si="6"/>
        <v>-0.74039566049776639</v>
      </c>
      <c r="AC51" s="20">
        <f t="shared" si="7"/>
        <v>-126.5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57DF-B214-4389-BA35-AD7AA5FECAD2}">
  <dimension ref="A1:AH48"/>
  <sheetViews>
    <sheetView topLeftCell="K22" zoomScale="70" zoomScaleNormal="70" workbookViewId="0">
      <selection activeCell="Q38" sqref="Q38"/>
    </sheetView>
  </sheetViews>
  <sheetFormatPr defaultRowHeight="15" outlineLevelCol="1" x14ac:dyDescent="0.25"/>
  <cols>
    <col min="1" max="1" width="26.28515625" bestFit="1" customWidth="1"/>
    <col min="2" max="4" width="14.28515625" bestFit="1" customWidth="1" outlineLevel="1"/>
    <col min="5" max="5" width="13.28515625" bestFit="1" customWidth="1" outlineLevel="1"/>
    <col min="6" max="6" width="14.28515625" bestFit="1" customWidth="1" outlineLevel="1"/>
    <col min="7" max="7" width="13.5703125" bestFit="1" customWidth="1" outlineLevel="1"/>
    <col min="8" max="9" width="14.28515625" bestFit="1" customWidth="1" outlineLevel="1"/>
    <col min="10" max="13" width="14.7109375" bestFit="1" customWidth="1" outlineLevel="1"/>
    <col min="14" max="15" width="14.28515625" bestFit="1" customWidth="1"/>
    <col min="16" max="17" width="14.7109375" bestFit="1" customWidth="1"/>
    <col min="18" max="18" width="14.28515625" bestFit="1" customWidth="1"/>
    <col min="19" max="19" width="14.7109375" bestFit="1" customWidth="1"/>
    <col min="20" max="20" width="14.28515625" bestFit="1" customWidth="1"/>
    <col min="21" max="21" width="14" bestFit="1" customWidth="1"/>
    <col min="22" max="22" width="14.28515625" bestFit="1" customWidth="1"/>
    <col min="23" max="23" width="14.7109375" bestFit="1" customWidth="1"/>
    <col min="24" max="24" width="14.28515625" bestFit="1" customWidth="1"/>
    <col min="25" max="25" width="14.7109375" bestFit="1" customWidth="1"/>
    <col min="26" max="26" width="14.28515625" bestFit="1" customWidth="1"/>
    <col min="27" max="27" width="12.140625" bestFit="1" customWidth="1"/>
    <col min="28" max="28" width="7.7109375" customWidth="1"/>
    <col min="29" max="29" width="12" bestFit="1" customWidth="1"/>
    <col min="30" max="30" width="14" bestFit="1" customWidth="1"/>
    <col min="31" max="31" width="13.42578125" bestFit="1" customWidth="1"/>
    <col min="32" max="32" width="9" bestFit="1" customWidth="1"/>
    <col min="33" max="33" width="13.42578125" bestFit="1" customWidth="1"/>
    <col min="34" max="34" width="7.7109375" bestFit="1" customWidth="1"/>
  </cols>
  <sheetData>
    <row r="1" spans="1:34" x14ac:dyDescent="0.25">
      <c r="A1" s="1" t="s">
        <v>64</v>
      </c>
    </row>
    <row r="2" spans="1:34" x14ac:dyDescent="0.25">
      <c r="A2" s="1" t="s">
        <v>1</v>
      </c>
      <c r="AD2" s="45"/>
      <c r="AE2" s="45"/>
      <c r="AF2" s="45"/>
      <c r="AG2" s="45"/>
      <c r="AH2" s="45"/>
    </row>
    <row r="3" spans="1:34" x14ac:dyDescent="0.25">
      <c r="A3" s="3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</v>
      </c>
      <c r="O3" s="3">
        <v>2</v>
      </c>
      <c r="P3" s="3">
        <v>3</v>
      </c>
      <c r="Q3" s="3">
        <v>4</v>
      </c>
      <c r="R3" s="3">
        <v>5</v>
      </c>
      <c r="S3" s="3">
        <v>6</v>
      </c>
      <c r="T3" s="3">
        <v>7</v>
      </c>
      <c r="U3" s="3">
        <v>8</v>
      </c>
      <c r="V3" s="3">
        <v>9</v>
      </c>
      <c r="W3" s="3">
        <v>10</v>
      </c>
      <c r="X3" s="3">
        <v>11</v>
      </c>
      <c r="Y3" s="3">
        <v>12</v>
      </c>
      <c r="Z3" s="3">
        <v>1</v>
      </c>
      <c r="AA3" s="4" t="s">
        <v>3</v>
      </c>
      <c r="AB3" s="4" t="s">
        <v>4</v>
      </c>
      <c r="AC3" s="4" t="s">
        <v>5</v>
      </c>
      <c r="AD3" s="45" t="s">
        <v>58</v>
      </c>
      <c r="AE3" s="45" t="s">
        <v>38</v>
      </c>
      <c r="AF3" s="45" t="s">
        <v>39</v>
      </c>
      <c r="AG3" s="45" t="s">
        <v>40</v>
      </c>
      <c r="AH3" s="45" t="s">
        <v>59</v>
      </c>
    </row>
    <row r="4" spans="1:34" x14ac:dyDescent="0.25">
      <c r="A4" t="s">
        <v>41</v>
      </c>
      <c r="B4" s="6">
        <v>1485718.3035714289</v>
      </c>
      <c r="C4" s="6">
        <v>3433725.8482142813</v>
      </c>
      <c r="D4" s="6">
        <v>2998702.7678571441</v>
      </c>
      <c r="E4" s="6">
        <v>2352119.5521375719</v>
      </c>
      <c r="F4" s="6">
        <v>1993829.2857142857</v>
      </c>
      <c r="G4" s="6">
        <v>773789.73214285681</v>
      </c>
      <c r="H4" s="6">
        <v>1229510.0892857143</v>
      </c>
      <c r="I4" s="6">
        <v>1698608.3035714279</v>
      </c>
      <c r="J4" s="6">
        <v>1715389.2857142845</v>
      </c>
      <c r="K4" s="6">
        <v>2151694.8464285708</v>
      </c>
      <c r="L4" s="6">
        <v>1816696.6964285716</v>
      </c>
      <c r="M4" s="7">
        <v>621514.07142857136</v>
      </c>
      <c r="N4" s="7">
        <v>2170340.3571428568</v>
      </c>
      <c r="O4" s="7">
        <v>1800270.9357142868</v>
      </c>
      <c r="P4" s="7">
        <v>1621806.4865714284</v>
      </c>
      <c r="Q4" s="6">
        <v>2814232.8571428587</v>
      </c>
      <c r="R4" s="6">
        <v>2377303.3928571441</v>
      </c>
      <c r="S4" s="6">
        <v>1619054.0178571423</v>
      </c>
      <c r="T4" s="16">
        <v>1635834.9999999993</v>
      </c>
      <c r="U4" s="16">
        <v>1662560.2678571427</v>
      </c>
      <c r="V4" s="16">
        <v>1878845.2678571425</v>
      </c>
      <c r="W4" s="16">
        <v>2176555.535714285</v>
      </c>
      <c r="X4" s="16">
        <v>3432639.1071428601</v>
      </c>
      <c r="Y4" s="16">
        <v>2338771.6964285732</v>
      </c>
      <c r="Z4" s="16">
        <v>909276.80357142817</v>
      </c>
      <c r="AA4" s="6">
        <f>SUM(U4:Z4)/6</f>
        <v>2066441.4464285721</v>
      </c>
      <c r="AB4" s="17">
        <f>Y4/AA4-1</f>
        <v>0.13178706344216495</v>
      </c>
      <c r="AC4" s="20">
        <f>Z4-AA4</f>
        <v>-1157164.6428571439</v>
      </c>
      <c r="AD4" s="6">
        <f>SUM(B4:L4)</f>
        <v>21649784.711066134</v>
      </c>
      <c r="AE4" s="32">
        <f>SUM(N4:X4)</f>
        <v>23189443.225857146</v>
      </c>
      <c r="AF4" s="46">
        <f>AE4/AD4-1</f>
        <v>7.1116573921588433E-2</v>
      </c>
      <c r="AG4" s="49">
        <f>AE4-AD4</f>
        <v>1539658.5147910118</v>
      </c>
      <c r="AH4" s="29">
        <f>AE4/AE23</f>
        <v>0.29497909853423288</v>
      </c>
    </row>
    <row r="5" spans="1:34" x14ac:dyDescent="0.25">
      <c r="A5" t="s">
        <v>44</v>
      </c>
      <c r="B5" s="6">
        <v>401334.37499999994</v>
      </c>
      <c r="C5" s="6">
        <v>1043469.375</v>
      </c>
      <c r="D5" s="6">
        <v>983811.5625</v>
      </c>
      <c r="E5" s="6">
        <v>1384061.2649999999</v>
      </c>
      <c r="F5" s="6">
        <v>599832.1875</v>
      </c>
      <c r="G5" s="6">
        <v>68335.312499999985</v>
      </c>
      <c r="H5" s="6">
        <v>332999.0625</v>
      </c>
      <c r="I5" s="6">
        <v>657320.625</v>
      </c>
      <c r="J5" s="6">
        <v>581392.5</v>
      </c>
      <c r="K5" s="6">
        <v>636711.56000000006</v>
      </c>
      <c r="L5" s="6">
        <v>933915.9375</v>
      </c>
      <c r="M5" s="7">
        <v>404587.1875</v>
      </c>
      <c r="N5" s="7">
        <v>935000.625</v>
      </c>
      <c r="O5" s="7">
        <v>1100957.9099999999</v>
      </c>
      <c r="P5" s="7">
        <v>1079264.0630000001</v>
      </c>
      <c r="Q5" s="6">
        <v>1235459.0625</v>
      </c>
      <c r="R5" s="6">
        <v>1327657.5</v>
      </c>
      <c r="S5" s="6">
        <v>982726.875</v>
      </c>
      <c r="T5" s="16">
        <v>1007674.6875</v>
      </c>
      <c r="U5" s="16">
        <v>720232.5</v>
      </c>
      <c r="V5" s="16">
        <v>1092280.3125</v>
      </c>
      <c r="W5" s="16">
        <v>1359113.4374999998</v>
      </c>
      <c r="X5" s="16">
        <v>1073840.6249999998</v>
      </c>
      <c r="Y5" s="16">
        <v>930661.87499999988</v>
      </c>
      <c r="Z5" s="16">
        <v>513057.25</v>
      </c>
      <c r="AA5" s="6">
        <f t="shared" ref="AA5:AA23" si="0">SUM(U5:Z5)/6</f>
        <v>948197.66666666663</v>
      </c>
      <c r="AB5" s="17">
        <f t="shared" ref="AB5:AB23" si="1">Y5/AA5-1</f>
        <v>-1.8493814405083686E-2</v>
      </c>
      <c r="AC5" s="20">
        <f t="shared" ref="AC5:AC23" si="2">Z5-AA5</f>
        <v>-435140.41666666663</v>
      </c>
      <c r="AD5" s="6">
        <f t="shared" ref="AD5:AD23" si="3">SUM(B5:L5)</f>
        <v>7623183.7624999993</v>
      </c>
      <c r="AE5" s="32">
        <f t="shared" ref="AE5:AE23" si="4">SUM(N5:X5)</f>
        <v>11914207.598000001</v>
      </c>
      <c r="AF5" s="46">
        <f t="shared" ref="AF5:AF23" si="5">AE5/AD5-1</f>
        <v>0.56289130226775153</v>
      </c>
      <c r="AG5" s="49">
        <f t="shared" ref="AG5:AG23" si="6">AE5-AD5</f>
        <v>4291023.8355000019</v>
      </c>
      <c r="AH5" s="29">
        <f>AE5/AE23</f>
        <v>0.15155354023718026</v>
      </c>
    </row>
    <row r="6" spans="1:34" x14ac:dyDescent="0.25">
      <c r="A6" t="s">
        <v>10</v>
      </c>
      <c r="B6" s="6">
        <v>292459.0446428571</v>
      </c>
      <c r="C6" s="6">
        <v>260424.99107142858</v>
      </c>
      <c r="D6" s="6">
        <v>270895.24107142852</v>
      </c>
      <c r="E6" s="6">
        <v>334488.6647858572</v>
      </c>
      <c r="F6" s="6">
        <v>261611.24999999997</v>
      </c>
      <c r="G6" s="6">
        <v>82843.5625</v>
      </c>
      <c r="H6" s="6">
        <v>300230.05357142852</v>
      </c>
      <c r="I6" s="6">
        <v>242301.84821428568</v>
      </c>
      <c r="J6" s="6">
        <v>480866.8571428571</v>
      </c>
      <c r="K6" s="6">
        <v>397400.48071428563</v>
      </c>
      <c r="L6" s="6">
        <v>560596.00000000023</v>
      </c>
      <c r="M6" s="7">
        <v>181883.96428571429</v>
      </c>
      <c r="N6" s="7">
        <v>647799.2857142858</v>
      </c>
      <c r="O6" s="7">
        <v>355541.54999999993</v>
      </c>
      <c r="P6" s="7">
        <v>351804.02714285714</v>
      </c>
      <c r="Q6" s="6">
        <v>413343.58928571426</v>
      </c>
      <c r="R6" s="6">
        <v>406150.63392857142</v>
      </c>
      <c r="S6" s="6">
        <v>484042.16071428568</v>
      </c>
      <c r="T6" s="16">
        <v>271421.11607142858</v>
      </c>
      <c r="U6" s="16">
        <v>487249.95535714278</v>
      </c>
      <c r="V6" s="16">
        <v>412036.87499999988</v>
      </c>
      <c r="W6" s="16">
        <v>487248.61607142858</v>
      </c>
      <c r="X6" s="16">
        <v>667760.54464285728</v>
      </c>
      <c r="Y6" s="16">
        <v>239373.80357142852</v>
      </c>
      <c r="Z6" s="16">
        <v>385220.4821428571</v>
      </c>
      <c r="AA6" s="6">
        <f t="shared" si="0"/>
        <v>446481.71279761911</v>
      </c>
      <c r="AB6" s="17">
        <f t="shared" si="1"/>
        <v>-0.46386649954478276</v>
      </c>
      <c r="AC6" s="20">
        <f t="shared" si="2"/>
        <v>-61261.23065476201</v>
      </c>
      <c r="AD6" s="6">
        <f t="shared" si="3"/>
        <v>3484117.9937144285</v>
      </c>
      <c r="AE6" s="32">
        <f t="shared" si="4"/>
        <v>4984398.3539285716</v>
      </c>
      <c r="AF6" s="46">
        <f t="shared" si="5"/>
        <v>0.43060549697821515</v>
      </c>
      <c r="AG6" s="49">
        <f t="shared" si="6"/>
        <v>1500280.3602141431</v>
      </c>
      <c r="AH6" s="29">
        <f>AE6/AE23</f>
        <v>6.340356337395496E-2</v>
      </c>
    </row>
    <row r="7" spans="1:34" x14ac:dyDescent="0.25">
      <c r="A7" t="s">
        <v>47</v>
      </c>
      <c r="B7" s="6">
        <v>644196.42857142864</v>
      </c>
      <c r="C7" s="6">
        <v>550044.64285714296</v>
      </c>
      <c r="D7" s="6">
        <v>512053.57142857148</v>
      </c>
      <c r="E7" s="6">
        <v>487276.79085600009</v>
      </c>
      <c r="F7" s="6">
        <v>819285.7142857142</v>
      </c>
      <c r="G7" s="6">
        <v>140401.78571428571</v>
      </c>
      <c r="H7" s="6">
        <v>401383.92857142858</v>
      </c>
      <c r="I7" s="6">
        <v>607857.14285714296</v>
      </c>
      <c r="J7" s="6">
        <v>704124.99999999988</v>
      </c>
      <c r="K7" s="6">
        <v>418080.36285714281</v>
      </c>
      <c r="L7" s="6">
        <v>659008.92857142841</v>
      </c>
      <c r="M7" s="7">
        <v>292368.42857142852</v>
      </c>
      <c r="N7" s="7">
        <v>742767.85714285716</v>
      </c>
      <c r="O7" s="7">
        <v>426696.4499999999</v>
      </c>
      <c r="P7" s="7">
        <v>507294.63485714293</v>
      </c>
      <c r="Q7" s="6">
        <v>553123.2142857142</v>
      </c>
      <c r="R7" s="6">
        <v>632142.85714285728</v>
      </c>
      <c r="S7" s="6">
        <v>459883.92857142864</v>
      </c>
      <c r="T7" s="16">
        <v>682714.28571428556</v>
      </c>
      <c r="U7" s="16">
        <v>483589.28571428568</v>
      </c>
      <c r="V7" s="16">
        <v>584732.14285714284</v>
      </c>
      <c r="W7" s="16">
        <v>504133.92857142864</v>
      </c>
      <c r="X7" s="16">
        <v>685873.21428571455</v>
      </c>
      <c r="Y7" s="16">
        <v>428276.78571428562</v>
      </c>
      <c r="Z7" s="16">
        <v>297107.57142857136</v>
      </c>
      <c r="AA7" s="6">
        <f t="shared" si="0"/>
        <v>497285.48809523811</v>
      </c>
      <c r="AB7" s="17">
        <f t="shared" si="1"/>
        <v>-0.13877079471045461</v>
      </c>
      <c r="AC7" s="20">
        <f t="shared" si="2"/>
        <v>-200177.91666666674</v>
      </c>
      <c r="AD7" s="6">
        <f t="shared" si="3"/>
        <v>5943714.2965702852</v>
      </c>
      <c r="AE7" s="32">
        <f t="shared" si="4"/>
        <v>6262951.7991428562</v>
      </c>
      <c r="AF7" s="46">
        <f t="shared" si="5"/>
        <v>5.3710102243101021E-2</v>
      </c>
      <c r="AG7" s="49">
        <f t="shared" si="6"/>
        <v>319237.50257257093</v>
      </c>
      <c r="AH7" s="29">
        <f>AE7/AE23</f>
        <v>7.966728040346148E-2</v>
      </c>
    </row>
    <row r="8" spans="1:34" x14ac:dyDescent="0.25">
      <c r="A8" t="s">
        <v>49</v>
      </c>
      <c r="B8" s="6">
        <v>8988.589285714268</v>
      </c>
      <c r="C8" s="6">
        <v>411977.00892857142</v>
      </c>
      <c r="D8" s="6">
        <v>453923.75892857136</v>
      </c>
      <c r="E8" s="6">
        <v>346060.68213857146</v>
      </c>
      <c r="F8" s="6">
        <v>100372.58035714284</v>
      </c>
      <c r="G8" s="6">
        <v>13482.883928571428</v>
      </c>
      <c r="H8" s="6">
        <v>89885.892857142841</v>
      </c>
      <c r="I8" s="6">
        <v>341566.39285714278</v>
      </c>
      <c r="J8" s="6">
        <v>158798.41071428568</v>
      </c>
      <c r="K8" s="6">
        <v>404486.51142857142</v>
      </c>
      <c r="L8" s="6">
        <v>220220.43749999997</v>
      </c>
      <c r="M8" s="7">
        <v>271156.25892857136</v>
      </c>
      <c r="N8" s="7">
        <v>423961.79464285704</v>
      </c>
      <c r="O8" s="7">
        <v>319094.89</v>
      </c>
      <c r="P8" s="7">
        <v>269657.67464285705</v>
      </c>
      <c r="Q8" s="6">
        <v>615719.00892857125</v>
      </c>
      <c r="R8" s="6">
        <v>449429.46428571426</v>
      </c>
      <c r="S8" s="6">
        <v>323589.21428571426</v>
      </c>
      <c r="T8" s="16">
        <v>269657.67857142858</v>
      </c>
      <c r="U8" s="16">
        <v>188760.37499999997</v>
      </c>
      <c r="V8" s="16">
        <v>701109.96428571409</v>
      </c>
      <c r="W8" s="16">
        <v>434448.48214285704</v>
      </c>
      <c r="X8" s="16">
        <v>602235.48214285704</v>
      </c>
      <c r="Y8" s="16">
        <v>699611.86607142829</v>
      </c>
      <c r="Z8" s="16">
        <v>98874.48214285713</v>
      </c>
      <c r="AA8" s="6">
        <f t="shared" si="0"/>
        <v>454173.44196428562</v>
      </c>
      <c r="AB8" s="17">
        <f t="shared" si="1"/>
        <v>0.54040681693238013</v>
      </c>
      <c r="AC8" s="20">
        <f t="shared" si="2"/>
        <v>-355298.95982142852</v>
      </c>
      <c r="AD8" s="6">
        <f t="shared" si="3"/>
        <v>2549763.1489242855</v>
      </c>
      <c r="AE8" s="32">
        <f t="shared" si="4"/>
        <v>4597664.0289285714</v>
      </c>
      <c r="AF8" s="46">
        <f t="shared" si="5"/>
        <v>0.80317298525091263</v>
      </c>
      <c r="AG8" s="49">
        <f t="shared" si="6"/>
        <v>2047900.8800042858</v>
      </c>
      <c r="AH8" s="29">
        <f>AE8/AE23</f>
        <v>5.8484146316388742E-2</v>
      </c>
    </row>
    <row r="9" spans="1:34" x14ac:dyDescent="0.25">
      <c r="A9" t="s">
        <v>13</v>
      </c>
      <c r="B9" s="6">
        <v>329040.5</v>
      </c>
      <c r="C9" s="6">
        <v>388975.75</v>
      </c>
      <c r="D9" s="6">
        <v>243322.80357142861</v>
      </c>
      <c r="E9" s="6">
        <v>341472.93599599996</v>
      </c>
      <c r="F9" s="6">
        <v>304948.30357142858</v>
      </c>
      <c r="G9" s="6">
        <v>183306.87499999994</v>
      </c>
      <c r="H9" s="6">
        <v>128821.65178571428</v>
      </c>
      <c r="I9" s="6">
        <v>452354.06250000012</v>
      </c>
      <c r="J9" s="6">
        <v>298616.38392857136</v>
      </c>
      <c r="K9" s="6">
        <v>376750.5310714285</v>
      </c>
      <c r="L9" s="6">
        <v>473474.50892857136</v>
      </c>
      <c r="M9" s="7">
        <v>149091.70535714284</v>
      </c>
      <c r="N9" s="7">
        <v>266935.3571428571</v>
      </c>
      <c r="O9" s="7">
        <v>349719.07</v>
      </c>
      <c r="P9" s="7">
        <v>372104.49400000006</v>
      </c>
      <c r="Q9" s="6">
        <v>273269.95535714278</v>
      </c>
      <c r="R9" s="6">
        <v>390266.25000000006</v>
      </c>
      <c r="S9" s="6">
        <v>361545.35714285722</v>
      </c>
      <c r="T9" s="16">
        <v>325221.875</v>
      </c>
      <c r="U9" s="16">
        <v>340849.41964285716</v>
      </c>
      <c r="V9" s="16">
        <v>465447.41071428586</v>
      </c>
      <c r="W9" s="16">
        <v>454886.47321428574</v>
      </c>
      <c r="X9" s="16">
        <v>420674.82142857148</v>
      </c>
      <c r="Y9" s="16">
        <v>146138.66071428571</v>
      </c>
      <c r="Z9" s="16">
        <v>331133.30357142858</v>
      </c>
      <c r="AA9" s="6">
        <f t="shared" si="0"/>
        <v>359855.01488095237</v>
      </c>
      <c r="AB9" s="17">
        <f t="shared" si="1"/>
        <v>-0.59389572280205272</v>
      </c>
      <c r="AC9" s="20">
        <f t="shared" si="2"/>
        <v>-28721.711309523787</v>
      </c>
      <c r="AD9" s="6">
        <f t="shared" si="3"/>
        <v>3521084.306353143</v>
      </c>
      <c r="AE9" s="32">
        <f t="shared" si="4"/>
        <v>4020920.483642858</v>
      </c>
      <c r="AF9" s="46">
        <f t="shared" si="5"/>
        <v>0.1419551859033461</v>
      </c>
      <c r="AG9" s="49">
        <f t="shared" si="6"/>
        <v>499836.17728971504</v>
      </c>
      <c r="AH9" s="29">
        <f>AE9/AE23</f>
        <v>5.1147735113375531E-2</v>
      </c>
    </row>
    <row r="10" spans="1:34" x14ac:dyDescent="0.25">
      <c r="A10" t="s">
        <v>50</v>
      </c>
      <c r="B10" s="6">
        <v>93571.428571428551</v>
      </c>
      <c r="C10" s="6">
        <v>210714.28571428568</v>
      </c>
      <c r="D10" s="6">
        <v>226428.57142857142</v>
      </c>
      <c r="E10" s="6">
        <v>278571.43571357138</v>
      </c>
      <c r="F10" s="6">
        <v>257142.85714285713</v>
      </c>
      <c r="G10" s="6">
        <v>57142.857142857145</v>
      </c>
      <c r="H10" s="6">
        <v>96428.571428571435</v>
      </c>
      <c r="I10" s="6">
        <v>203571.42857142855</v>
      </c>
      <c r="J10" s="6">
        <v>399285.71428571432</v>
      </c>
      <c r="K10" s="6">
        <v>243571.42999999996</v>
      </c>
      <c r="L10" s="6">
        <v>283571.42857142852</v>
      </c>
      <c r="M10" s="7">
        <v>107143.85714285713</v>
      </c>
      <c r="N10" s="7">
        <v>316428.57142857142</v>
      </c>
      <c r="O10" s="7">
        <v>197678.56999999998</v>
      </c>
      <c r="P10" s="7">
        <v>204000</v>
      </c>
      <c r="Q10" s="6">
        <v>373499.99999999994</v>
      </c>
      <c r="R10" s="6">
        <v>214499.99999999997</v>
      </c>
      <c r="S10" s="6">
        <v>246000</v>
      </c>
      <c r="T10" s="16">
        <v>222000</v>
      </c>
      <c r="U10" s="16">
        <v>210749.99999999997</v>
      </c>
      <c r="V10" s="16">
        <v>304499.99999999994</v>
      </c>
      <c r="W10" s="16">
        <v>168750</v>
      </c>
      <c r="X10" s="16">
        <v>263250</v>
      </c>
      <c r="Y10" s="16">
        <v>164999.99999999997</v>
      </c>
      <c r="Z10" s="16">
        <v>168750</v>
      </c>
      <c r="AA10" s="6">
        <f t="shared" si="0"/>
        <v>213499.99999999997</v>
      </c>
      <c r="AB10" s="17">
        <f t="shared" si="1"/>
        <v>-0.22716627634660425</v>
      </c>
      <c r="AC10" s="20">
        <f t="shared" si="2"/>
        <v>-44749.999999999971</v>
      </c>
      <c r="AD10" s="6">
        <f t="shared" si="3"/>
        <v>2350000.0085707139</v>
      </c>
      <c r="AE10" s="32">
        <f t="shared" si="4"/>
        <v>2721357.1414285712</v>
      </c>
      <c r="AF10" s="46">
        <f t="shared" si="5"/>
        <v>0.15802431127807504</v>
      </c>
      <c r="AG10" s="49">
        <f t="shared" si="6"/>
        <v>371357.13285785727</v>
      </c>
      <c r="AH10" s="29">
        <f>AE10/AE23</f>
        <v>3.4616763695007824E-2</v>
      </c>
    </row>
    <row r="11" spans="1:34" x14ac:dyDescent="0.25">
      <c r="A11" t="s">
        <v>51</v>
      </c>
      <c r="B11" s="6">
        <v>20667.214285714283</v>
      </c>
      <c r="C11" s="6">
        <v>159022.7321428571</v>
      </c>
      <c r="D11" s="6">
        <v>59705.357142857145</v>
      </c>
      <c r="E11" s="6">
        <v>66307.410713999998</v>
      </c>
      <c r="F11" s="6">
        <v>110914.21428571428</v>
      </c>
      <c r="G11" s="6">
        <v>7233.5357142857138</v>
      </c>
      <c r="H11" s="6">
        <v>28934.142857142855</v>
      </c>
      <c r="I11" s="6">
        <v>203141.79464285713</v>
      </c>
      <c r="J11" s="6">
        <v>206758.83035714281</v>
      </c>
      <c r="K11" s="6">
        <v>166371.85714285713</v>
      </c>
      <c r="L11" s="6">
        <v>171797.00892857142</v>
      </c>
      <c r="M11" s="7">
        <v>53046.392857142855</v>
      </c>
      <c r="N11" s="7">
        <v>149493.07142857142</v>
      </c>
      <c r="O11" s="7">
        <v>176137.30000000002</v>
      </c>
      <c r="P11" s="7">
        <v>64439.274999999994</v>
      </c>
      <c r="Q11" s="6">
        <v>141778</v>
      </c>
      <c r="R11" s="6">
        <v>106333.5</v>
      </c>
      <c r="S11" s="6">
        <v>65885.66071428571</v>
      </c>
      <c r="T11" s="16">
        <v>146841.49999999997</v>
      </c>
      <c r="U11" s="16">
        <v>43039.749999999993</v>
      </c>
      <c r="V11" s="16">
        <v>117093.43749999999</v>
      </c>
      <c r="W11" s="16">
        <v>113928.74999999999</v>
      </c>
      <c r="X11" s="16">
        <v>164566.25</v>
      </c>
      <c r="Y11" s="16">
        <v>64559.625</v>
      </c>
      <c r="Z11" s="16">
        <v>58230.5</v>
      </c>
      <c r="AA11" s="6">
        <f t="shared" si="0"/>
        <v>93569.71875</v>
      </c>
      <c r="AB11" s="17">
        <f t="shared" si="1"/>
        <v>-0.31003720153855863</v>
      </c>
      <c r="AC11" s="20">
        <f t="shared" si="2"/>
        <v>-35339.21875</v>
      </c>
      <c r="AD11" s="6">
        <f t="shared" si="3"/>
        <v>1200854.098214</v>
      </c>
      <c r="AE11" s="32">
        <f t="shared" si="4"/>
        <v>1289536.494642857</v>
      </c>
      <c r="AF11" s="46">
        <f t="shared" si="5"/>
        <v>7.3849434798742175E-2</v>
      </c>
      <c r="AG11" s="49">
        <f t="shared" si="6"/>
        <v>88682.396428856999</v>
      </c>
      <c r="AH11" s="29">
        <f>AE11/AE23</f>
        <v>1.6403425861152145E-2</v>
      </c>
    </row>
    <row r="12" spans="1:34" x14ac:dyDescent="0.25">
      <c r="A12" t="s">
        <v>52</v>
      </c>
      <c r="B12" s="6">
        <v>259487.49999999994</v>
      </c>
      <c r="C12" s="6">
        <v>131597.23214285713</v>
      </c>
      <c r="D12" s="6">
        <v>153839.01785714284</v>
      </c>
      <c r="E12" s="6">
        <v>350678.82214742858</v>
      </c>
      <c r="F12" s="6">
        <v>126036.7857142857</v>
      </c>
      <c r="G12" s="6">
        <v>79699.73214285713</v>
      </c>
      <c r="H12" s="6">
        <v>57457.946428571428</v>
      </c>
      <c r="I12" s="6">
        <v>317316.14285714272</v>
      </c>
      <c r="J12" s="6">
        <v>283582.76785714284</v>
      </c>
      <c r="K12" s="6">
        <v>242806.15785714283</v>
      </c>
      <c r="L12" s="6">
        <v>269866.99999999994</v>
      </c>
      <c r="M12" s="7">
        <v>164960.01785714284</v>
      </c>
      <c r="N12" s="7">
        <v>381817.3214285713</v>
      </c>
      <c r="O12" s="7">
        <v>298039.91999999993</v>
      </c>
      <c r="P12" s="7">
        <v>329178.42328571412</v>
      </c>
      <c r="Q12" s="6">
        <v>488948.58928571426</v>
      </c>
      <c r="R12" s="6">
        <v>569389.71428571409</v>
      </c>
      <c r="S12" s="6">
        <v>329919.82142857142</v>
      </c>
      <c r="T12" s="16">
        <v>355127.17857142846</v>
      </c>
      <c r="U12" s="16">
        <v>382929.41071428568</v>
      </c>
      <c r="V12" s="16">
        <v>344747.67857142846</v>
      </c>
      <c r="W12" s="16">
        <v>321764.50000000006</v>
      </c>
      <c r="X12" s="16">
        <v>409990.24999999994</v>
      </c>
      <c r="Y12" s="16">
        <v>227607.60714285707</v>
      </c>
      <c r="Z12" s="16">
        <v>271349.7321428571</v>
      </c>
      <c r="AA12" s="6">
        <f t="shared" si="0"/>
        <v>326398.19642857136</v>
      </c>
      <c r="AB12" s="17">
        <f t="shared" si="1"/>
        <v>-0.30266891902796866</v>
      </c>
      <c r="AC12" s="20">
        <f t="shared" si="2"/>
        <v>-55048.464285714261</v>
      </c>
      <c r="AD12" s="6">
        <f t="shared" si="3"/>
        <v>2272369.1050045709</v>
      </c>
      <c r="AE12" s="32">
        <f t="shared" si="4"/>
        <v>4211852.8075714279</v>
      </c>
      <c r="AF12" s="46">
        <f t="shared" si="5"/>
        <v>0.8535073365922019</v>
      </c>
      <c r="AG12" s="49">
        <f t="shared" si="6"/>
        <v>1939483.702566857</v>
      </c>
      <c r="AH12" s="29">
        <f>AE12/AE23</f>
        <v>5.3576471510577837E-2</v>
      </c>
    </row>
    <row r="13" spans="1:34" x14ac:dyDescent="0.25">
      <c r="A13" t="s">
        <v>17</v>
      </c>
      <c r="B13" s="6">
        <v>127875.00000000003</v>
      </c>
      <c r="C13" s="6">
        <v>245785.71428571417</v>
      </c>
      <c r="D13" s="6">
        <v>83035.71428571429</v>
      </c>
      <c r="E13" s="6">
        <v>154999.99971471427</v>
      </c>
      <c r="F13" s="6">
        <v>157767.85714285713</v>
      </c>
      <c r="G13" s="6">
        <v>58124.999999999993</v>
      </c>
      <c r="H13" s="6">
        <v>8303.5714285714275</v>
      </c>
      <c r="I13" s="6">
        <v>107392.85714285714</v>
      </c>
      <c r="J13" s="6">
        <v>114589.28571428571</v>
      </c>
      <c r="K13" s="6">
        <v>142821.42428571425</v>
      </c>
      <c r="L13" s="6">
        <v>152785.71428571429</v>
      </c>
      <c r="M13" s="7">
        <v>27679.142857142859</v>
      </c>
      <c r="N13" s="7">
        <v>127321.42857142857</v>
      </c>
      <c r="O13" s="7">
        <v>72517.850000000006</v>
      </c>
      <c r="P13" s="7">
        <v>41517.857285714272</v>
      </c>
      <c r="Q13" s="6">
        <v>162750</v>
      </c>
      <c r="R13" s="6">
        <v>53696.428571428565</v>
      </c>
      <c r="S13" s="6">
        <v>95214.28571428571</v>
      </c>
      <c r="T13" s="16">
        <v>131696.42857142855</v>
      </c>
      <c r="U13" s="16">
        <v>109053.57142857142</v>
      </c>
      <c r="V13" s="16">
        <v>132303.57142857142</v>
      </c>
      <c r="W13" s="16">
        <v>80271.428571428565</v>
      </c>
      <c r="X13" s="16">
        <v>164964.28571428571</v>
      </c>
      <c r="Y13" s="16">
        <v>43178.571428571428</v>
      </c>
      <c r="Z13" s="16">
        <v>131200.60714285713</v>
      </c>
      <c r="AA13" s="6">
        <f t="shared" si="0"/>
        <v>110162.00595238096</v>
      </c>
      <c r="AB13" s="17">
        <f t="shared" si="1"/>
        <v>-0.60804479679467749</v>
      </c>
      <c r="AC13" s="20">
        <f t="shared" si="2"/>
        <v>21038.601190476169</v>
      </c>
      <c r="AD13" s="6">
        <f t="shared" si="3"/>
        <v>1353482.1382861428</v>
      </c>
      <c r="AE13" s="32">
        <f t="shared" si="4"/>
        <v>1171307.1358571427</v>
      </c>
      <c r="AF13" s="47">
        <f t="shared" si="5"/>
        <v>-0.13459727119833331</v>
      </c>
      <c r="AG13" s="50">
        <f t="shared" si="6"/>
        <v>-182175.0024290001</v>
      </c>
      <c r="AH13" s="29">
        <f>AE13/AE23</f>
        <v>1.489950059070826E-2</v>
      </c>
    </row>
    <row r="14" spans="1:34" x14ac:dyDescent="0.25">
      <c r="A14" t="s">
        <v>18</v>
      </c>
      <c r="B14" s="6"/>
      <c r="C14" s="6"/>
      <c r="D14" s="6"/>
      <c r="E14" s="6"/>
      <c r="F14" s="6">
        <v>241071.42857142841</v>
      </c>
      <c r="G14" s="6">
        <v>44642.857142857138</v>
      </c>
      <c r="H14" s="6">
        <v>73214.28571428571</v>
      </c>
      <c r="I14" s="6">
        <v>317857.14285714267</v>
      </c>
      <c r="J14" s="6">
        <v>403571.42857142823</v>
      </c>
      <c r="K14" s="6">
        <v>342857.13857142843</v>
      </c>
      <c r="L14" s="6">
        <v>323214.28571428562</v>
      </c>
      <c r="M14" s="7">
        <v>241074.57142857142</v>
      </c>
      <c r="N14" s="7">
        <v>299999.99999999983</v>
      </c>
      <c r="O14" s="7">
        <v>532142.79000000015</v>
      </c>
      <c r="P14" s="7">
        <v>398214.32971428556</v>
      </c>
      <c r="Q14" s="6">
        <v>332142.85714285698</v>
      </c>
      <c r="R14" s="6">
        <v>441071.42857142835</v>
      </c>
      <c r="S14" s="6">
        <v>578571.42857142887</v>
      </c>
      <c r="T14" s="16">
        <v>419642.85714285716</v>
      </c>
      <c r="U14" s="16">
        <v>274999.99999999994</v>
      </c>
      <c r="V14" s="16">
        <v>810714.28571428545</v>
      </c>
      <c r="W14" s="16">
        <v>499999.99999999977</v>
      </c>
      <c r="X14" s="16">
        <v>557142.85714285693</v>
      </c>
      <c r="Y14" s="16">
        <v>178571.42857142855</v>
      </c>
      <c r="Z14" s="16">
        <v>423215.99999999988</v>
      </c>
      <c r="AA14" s="6">
        <f t="shared" si="0"/>
        <v>457440.76190476184</v>
      </c>
      <c r="AB14" s="17">
        <f t="shared" si="1"/>
        <v>-0.60962939151319717</v>
      </c>
      <c r="AC14" s="20">
        <f t="shared" si="2"/>
        <v>-34224.761904761952</v>
      </c>
      <c r="AD14" s="6">
        <f t="shared" si="3"/>
        <v>1746428.5671428561</v>
      </c>
      <c r="AE14" s="32">
        <f t="shared" si="4"/>
        <v>5144642.8339999998</v>
      </c>
      <c r="AF14" s="46">
        <f t="shared" si="5"/>
        <v>1.9458077649385892</v>
      </c>
      <c r="AG14" s="49">
        <f t="shared" si="6"/>
        <v>3398214.2668571435</v>
      </c>
      <c r="AH14" s="29">
        <f>AE14/AE23</f>
        <v>6.5441937983305234E-2</v>
      </c>
    </row>
    <row r="15" spans="1:34" x14ac:dyDescent="0.25">
      <c r="A15" t="s">
        <v>53</v>
      </c>
      <c r="B15" s="6">
        <v>54656.624999999993</v>
      </c>
      <c r="C15" s="6">
        <v>242050.76785714287</v>
      </c>
      <c r="D15" s="6">
        <v>152257.74107142855</v>
      </c>
      <c r="E15" s="6">
        <v>101505.16071</v>
      </c>
      <c r="F15" s="6">
        <v>136641.5625</v>
      </c>
      <c r="G15" s="6"/>
      <c r="H15" s="6"/>
      <c r="I15" s="6">
        <v>127532.12499999999</v>
      </c>
      <c r="J15" s="6">
        <v>266776.0625</v>
      </c>
      <c r="K15" s="6">
        <v>174380.65749999997</v>
      </c>
      <c r="L15" s="6">
        <v>256365.27678571426</v>
      </c>
      <c r="M15" s="7">
        <v>139243.49107142858</v>
      </c>
      <c r="N15" s="7">
        <v>248557.50892857142</v>
      </c>
      <c r="O15" s="7">
        <v>205613.00000000003</v>
      </c>
      <c r="P15" s="7">
        <v>239448.07335714283</v>
      </c>
      <c r="Q15" s="6">
        <v>188695.16964285713</v>
      </c>
      <c r="R15" s="6">
        <v>260269.24107142855</v>
      </c>
      <c r="S15" s="6">
        <v>284995.25892857142</v>
      </c>
      <c r="T15" s="16">
        <v>253762.90178571426</v>
      </c>
      <c r="U15" s="16">
        <v>230338.63392857139</v>
      </c>
      <c r="V15" s="16">
        <v>189996.83928571429</v>
      </c>
      <c r="W15" s="16">
        <v>199105.95535714284</v>
      </c>
      <c r="X15" s="16">
        <v>257666.46428571426</v>
      </c>
      <c r="Y15" s="16">
        <v>93697.07142857142</v>
      </c>
      <c r="Z15" s="16">
        <v>179585.38392857139</v>
      </c>
      <c r="AA15" s="6">
        <f t="shared" si="0"/>
        <v>191731.72470238092</v>
      </c>
      <c r="AB15" s="17">
        <f t="shared" si="1"/>
        <v>-0.51131159137062787</v>
      </c>
      <c r="AC15" s="20">
        <f t="shared" si="2"/>
        <v>-12146.340773809527</v>
      </c>
      <c r="AD15" s="6">
        <f t="shared" si="3"/>
        <v>1512165.9789242856</v>
      </c>
      <c r="AE15" s="32">
        <f t="shared" si="4"/>
        <v>2558449.046571428</v>
      </c>
      <c r="AF15" s="46">
        <f t="shared" si="5"/>
        <v>0.69191020180961882</v>
      </c>
      <c r="AG15" s="49">
        <f t="shared" si="6"/>
        <v>1046283.0676471423</v>
      </c>
      <c r="AH15" s="29">
        <f>AE15/AE23</f>
        <v>3.2544506828085434E-2</v>
      </c>
    </row>
    <row r="16" spans="1:34" x14ac:dyDescent="0.25">
      <c r="A16" t="s">
        <v>20</v>
      </c>
      <c r="B16" s="6">
        <v>-4686.4285714285725</v>
      </c>
      <c r="C16" s="6">
        <v>34367.142857142855</v>
      </c>
      <c r="D16" s="6">
        <v>22651.071428571428</v>
      </c>
      <c r="E16" s="6">
        <v>13668.751428428572</v>
      </c>
      <c r="F16" s="6">
        <v>22651.071428571424</v>
      </c>
      <c r="G16" s="6">
        <v>7810.7142857142853</v>
      </c>
      <c r="H16" s="6">
        <v>24213.214285714283</v>
      </c>
      <c r="I16" s="6">
        <v>27142.232142857141</v>
      </c>
      <c r="J16" s="6">
        <v>17964.642857142859</v>
      </c>
      <c r="K16" s="6">
        <v>13278.214285714284</v>
      </c>
      <c r="L16" s="6">
        <v>23432.142857142855</v>
      </c>
      <c r="M16" s="7">
        <v>9372.4285714285725</v>
      </c>
      <c r="N16" s="7">
        <v>34757.678571428572</v>
      </c>
      <c r="O16" s="7">
        <v>9763.4000000000015</v>
      </c>
      <c r="P16" s="7">
        <v>16793.036285714286</v>
      </c>
      <c r="Q16" s="6">
        <v>16402.5</v>
      </c>
      <c r="R16" s="6">
        <v>7615.4464285714275</v>
      </c>
      <c r="S16" s="6">
        <v>34171.875</v>
      </c>
      <c r="T16" s="16">
        <v>40420.446428571428</v>
      </c>
      <c r="U16" s="16">
        <v>40615.714285714283</v>
      </c>
      <c r="V16" s="16">
        <v>28118.571428571424</v>
      </c>
      <c r="W16" s="16">
        <v>21870</v>
      </c>
      <c r="X16" s="16">
        <v>17183.571428571428</v>
      </c>
      <c r="Y16" s="16">
        <v>18745.714285714283</v>
      </c>
      <c r="Z16" s="16">
        <v>11716.5</v>
      </c>
      <c r="AA16" s="6">
        <f t="shared" si="0"/>
        <v>23041.678571428569</v>
      </c>
      <c r="AB16" s="17">
        <f t="shared" si="1"/>
        <v>-0.18644319997768022</v>
      </c>
      <c r="AC16" s="20">
        <f t="shared" si="2"/>
        <v>-11325.178571428569</v>
      </c>
      <c r="AD16" s="6">
        <f t="shared" si="3"/>
        <v>202492.76928557141</v>
      </c>
      <c r="AE16" s="32">
        <f t="shared" si="4"/>
        <v>267712.23985714285</v>
      </c>
      <c r="AF16" s="46">
        <f t="shared" si="5"/>
        <v>0.3220829603036035</v>
      </c>
      <c r="AG16" s="49">
        <f t="shared" si="6"/>
        <v>65219.470571571437</v>
      </c>
      <c r="AH16" s="29">
        <f>AE16/AE23</f>
        <v>3.4054079871821239E-3</v>
      </c>
    </row>
    <row r="17" spans="1:34" x14ac:dyDescent="0.25">
      <c r="A17" t="s">
        <v>21</v>
      </c>
      <c r="B17" s="6"/>
      <c r="C17" s="6"/>
      <c r="D17" s="6"/>
      <c r="E17" s="6"/>
      <c r="F17" s="6"/>
      <c r="G17" s="6"/>
      <c r="H17" s="6"/>
      <c r="I17" s="6"/>
      <c r="J17" s="6">
        <v>257500.00000000006</v>
      </c>
      <c r="K17" s="6">
        <v>168571.43285714282</v>
      </c>
      <c r="L17" s="6">
        <v>245714.28571428574</v>
      </c>
      <c r="M17" s="6">
        <v>91427.428571428565</v>
      </c>
      <c r="N17" s="7">
        <v>243214.28571428571</v>
      </c>
      <c r="O17" s="7">
        <v>198857.13000000003</v>
      </c>
      <c r="P17" s="7">
        <v>144553.56999999998</v>
      </c>
      <c r="Q17" s="7">
        <v>206625</v>
      </c>
      <c r="R17" s="7">
        <v>155625</v>
      </c>
      <c r="S17" s="7">
        <v>206624.99999999997</v>
      </c>
      <c r="T17" s="16">
        <v>203250</v>
      </c>
      <c r="U17" s="16">
        <v>222000</v>
      </c>
      <c r="V17" s="16">
        <v>225000</v>
      </c>
      <c r="W17" s="16">
        <v>131428.57142857142</v>
      </c>
      <c r="X17" s="16">
        <v>232500</v>
      </c>
      <c r="Y17" s="16">
        <v>82499.999999999985</v>
      </c>
      <c r="Z17" s="16">
        <v>89250</v>
      </c>
      <c r="AA17" s="6">
        <f t="shared" si="0"/>
        <v>163779.76190476189</v>
      </c>
      <c r="AB17" s="17">
        <f t="shared" si="1"/>
        <v>-0.49627475922224251</v>
      </c>
      <c r="AC17" s="20">
        <f t="shared" si="2"/>
        <v>-74529.761904761894</v>
      </c>
      <c r="AD17" s="6">
        <f t="shared" si="3"/>
        <v>671785.71857142868</v>
      </c>
      <c r="AE17" s="32">
        <f t="shared" si="4"/>
        <v>2169678.557142857</v>
      </c>
      <c r="AF17" s="46">
        <f t="shared" si="5"/>
        <v>2.2297181931118448</v>
      </c>
      <c r="AG17" s="49">
        <f t="shared" si="6"/>
        <v>1497892.8385714283</v>
      </c>
      <c r="AH17" s="29">
        <f>AE17/AE23</f>
        <v>2.7599188935309094E-2</v>
      </c>
    </row>
    <row r="18" spans="1:34" x14ac:dyDescent="0.25">
      <c r="A18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>
        <v>429999.99999999994</v>
      </c>
      <c r="O18" s="7">
        <v>235000</v>
      </c>
      <c r="P18" s="7">
        <v>255000</v>
      </c>
      <c r="Q18" s="7">
        <v>154999.99999999997</v>
      </c>
      <c r="R18" s="7">
        <v>187499.99999999997</v>
      </c>
      <c r="S18" s="7">
        <v>422499.99999999994</v>
      </c>
      <c r="T18" s="16">
        <v>207499.99999999997</v>
      </c>
      <c r="U18" s="16">
        <v>182499.99999999997</v>
      </c>
      <c r="V18" s="16">
        <v>315000</v>
      </c>
      <c r="W18" s="16">
        <v>442250</v>
      </c>
      <c r="X18" s="16">
        <v>297000</v>
      </c>
      <c r="Y18" s="16">
        <v>42750</v>
      </c>
      <c r="Z18" s="16">
        <v>195750</v>
      </c>
      <c r="AA18" s="6">
        <f t="shared" si="0"/>
        <v>245875</v>
      </c>
      <c r="AB18" s="17">
        <f t="shared" si="1"/>
        <v>-0.82613116420945598</v>
      </c>
      <c r="AC18" s="20">
        <f t="shared" si="2"/>
        <v>-50125</v>
      </c>
      <c r="AD18" s="6">
        <f t="shared" si="3"/>
        <v>0</v>
      </c>
      <c r="AE18" s="32">
        <f t="shared" si="4"/>
        <v>3129250</v>
      </c>
      <c r="AF18" s="46" t="e">
        <f t="shared" si="5"/>
        <v>#DIV/0!</v>
      </c>
      <c r="AG18" s="49">
        <f t="shared" si="6"/>
        <v>3129250</v>
      </c>
      <c r="AH18" s="29">
        <f>AE18/AE23</f>
        <v>3.9805325858750934E-2</v>
      </c>
    </row>
    <row r="19" spans="1:34" x14ac:dyDescent="0.25">
      <c r="A19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  <c r="T19" s="16"/>
      <c r="U19" s="16">
        <v>590694.64285714284</v>
      </c>
      <c r="V19" s="16">
        <v>120374.99999999999</v>
      </c>
      <c r="W19" s="16">
        <v>100312.49999999999</v>
      </c>
      <c r="X19" s="16">
        <v>169098.21428571426</v>
      </c>
      <c r="Y19" s="16">
        <v>30093.749999999996</v>
      </c>
      <c r="Z19" s="16">
        <v>83116.07142857142</v>
      </c>
      <c r="AA19" s="6">
        <f t="shared" si="0"/>
        <v>182281.69642857139</v>
      </c>
      <c r="AB19" s="17">
        <f t="shared" si="1"/>
        <v>-0.83490525604257537</v>
      </c>
      <c r="AC19" s="20">
        <f t="shared" si="2"/>
        <v>-99165.624999999971</v>
      </c>
      <c r="AD19" s="6">
        <f t="shared" si="3"/>
        <v>0</v>
      </c>
      <c r="AE19" s="32">
        <f t="shared" si="4"/>
        <v>980480.35714285704</v>
      </c>
      <c r="AF19" s="46" t="e">
        <f t="shared" si="5"/>
        <v>#DIV/0!</v>
      </c>
      <c r="AG19" s="49">
        <f t="shared" si="6"/>
        <v>980480.35714285704</v>
      </c>
      <c r="AH19" s="29">
        <f>AE19/AE23</f>
        <v>1.2472106771327289E-2</v>
      </c>
    </row>
    <row r="20" spans="1:34" x14ac:dyDescent="0.25">
      <c r="A20" t="s">
        <v>24</v>
      </c>
      <c r="B20" s="6">
        <v>3942.4553571428569</v>
      </c>
      <c r="C20" s="6">
        <v>53880.223214285717</v>
      </c>
      <c r="D20" s="6">
        <v>3416.7946428571427</v>
      </c>
      <c r="E20" s="6"/>
      <c r="F20" s="6">
        <v>89362.32142857142</v>
      </c>
      <c r="G20" s="6"/>
      <c r="H20" s="6"/>
      <c r="I20" s="6">
        <v>15769.821428571428</v>
      </c>
      <c r="J20" s="6">
        <v>8410.5714285714275</v>
      </c>
      <c r="K20" s="6"/>
      <c r="L20" s="6"/>
      <c r="M20" s="6">
        <v>5257</v>
      </c>
      <c r="N20" s="7"/>
      <c r="O20" s="7"/>
      <c r="P20" s="7"/>
      <c r="Q20" s="7"/>
      <c r="R20" s="7"/>
      <c r="S20" s="7"/>
      <c r="T20" s="16"/>
      <c r="U20" s="16"/>
      <c r="V20" s="16"/>
      <c r="W20" s="16"/>
      <c r="X20" s="16"/>
      <c r="Y20" s="16"/>
      <c r="Z20" s="16"/>
      <c r="AA20" s="6">
        <f t="shared" si="0"/>
        <v>0</v>
      </c>
      <c r="AB20" s="17" t="e">
        <f t="shared" si="1"/>
        <v>#DIV/0!</v>
      </c>
      <c r="AC20" s="20">
        <f t="shared" si="2"/>
        <v>0</v>
      </c>
      <c r="AD20" s="6">
        <f t="shared" si="3"/>
        <v>174782.18749999997</v>
      </c>
      <c r="AE20" s="32">
        <f t="shared" si="4"/>
        <v>0</v>
      </c>
      <c r="AF20" s="46">
        <f t="shared" si="5"/>
        <v>-1</v>
      </c>
      <c r="AG20" s="49">
        <f t="shared" si="6"/>
        <v>-174782.18749999997</v>
      </c>
      <c r="AH20" s="29">
        <f>AE20/AE23</f>
        <v>0</v>
      </c>
    </row>
    <row r="21" spans="1:34" x14ac:dyDescent="0.25">
      <c r="A21" t="s">
        <v>27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7"/>
      <c r="R21" s="7"/>
      <c r="S21" s="7"/>
      <c r="T21" s="16">
        <v>0</v>
      </c>
      <c r="U21" s="16"/>
      <c r="V21" s="16"/>
      <c r="W21" s="16"/>
      <c r="X21" s="16"/>
      <c r="Y21" s="16"/>
      <c r="Z21" s="16"/>
      <c r="AA21" s="6">
        <f t="shared" si="0"/>
        <v>0</v>
      </c>
      <c r="AB21" s="17" t="e">
        <f t="shared" si="1"/>
        <v>#DIV/0!</v>
      </c>
      <c r="AC21" s="20">
        <f t="shared" si="2"/>
        <v>0</v>
      </c>
      <c r="AD21" s="6">
        <f t="shared" si="3"/>
        <v>0</v>
      </c>
      <c r="AE21" s="32">
        <f t="shared" si="4"/>
        <v>0</v>
      </c>
      <c r="AF21" s="46" t="e">
        <f t="shared" si="5"/>
        <v>#DIV/0!</v>
      </c>
      <c r="AG21" s="49">
        <f t="shared" si="6"/>
        <v>0</v>
      </c>
      <c r="AH21" s="29">
        <f>AE21/AE23</f>
        <v>0</v>
      </c>
    </row>
    <row r="22" spans="1:34" x14ac:dyDescent="0.25">
      <c r="A22" t="s">
        <v>55</v>
      </c>
      <c r="B22" s="6">
        <v>21399.910714285714</v>
      </c>
      <c r="C22" s="6">
        <v>-17833.258928571428</v>
      </c>
      <c r="D22" s="6">
        <v>10699.955357142857</v>
      </c>
      <c r="E22" s="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7"/>
      <c r="R22" s="7"/>
      <c r="S22" s="7"/>
      <c r="T22" s="16"/>
      <c r="U22" s="16"/>
      <c r="V22" s="16"/>
      <c r="W22" s="16"/>
      <c r="X22" s="16"/>
      <c r="Y22" s="16"/>
      <c r="Z22" s="16"/>
      <c r="AA22" s="6">
        <f t="shared" si="0"/>
        <v>0</v>
      </c>
      <c r="AB22" s="17" t="e">
        <f t="shared" si="1"/>
        <v>#DIV/0!</v>
      </c>
      <c r="AC22" s="20">
        <f t="shared" si="2"/>
        <v>0</v>
      </c>
      <c r="AD22" s="6">
        <f t="shared" si="3"/>
        <v>14266.607142857143</v>
      </c>
      <c r="AE22" s="32">
        <f t="shared" si="4"/>
        <v>0</v>
      </c>
      <c r="AF22" s="46">
        <f t="shared" si="5"/>
        <v>-1</v>
      </c>
      <c r="AG22" s="49">
        <f t="shared" si="6"/>
        <v>-14266.607142857143</v>
      </c>
      <c r="AH22" s="29">
        <f>AE22/AE23</f>
        <v>0</v>
      </c>
    </row>
    <row r="23" spans="1:34" x14ac:dyDescent="0.25">
      <c r="A23" s="3" t="s">
        <v>33</v>
      </c>
      <c r="B23" s="10">
        <v>3738650.9464285714</v>
      </c>
      <c r="C23" s="10">
        <v>7148202.4553571381</v>
      </c>
      <c r="D23" s="10">
        <v>6174743.928571431</v>
      </c>
      <c r="E23" s="10">
        <v>6211211.4713421445</v>
      </c>
      <c r="F23" s="10">
        <v>5221467.4196428573</v>
      </c>
      <c r="G23" s="10">
        <v>1516814.848214285</v>
      </c>
      <c r="H23" s="10">
        <v>2771382.410714285</v>
      </c>
      <c r="I23" s="10">
        <v>5319731.9196428563</v>
      </c>
      <c r="J23" s="10">
        <v>5897627.7410714263</v>
      </c>
      <c r="K23" s="10">
        <v>5879782.6049999986</v>
      </c>
      <c r="L23" s="10">
        <v>6390659.6517857136</v>
      </c>
      <c r="M23" s="10">
        <v>2759805.9464285709</v>
      </c>
      <c r="N23" s="10">
        <f>SUM(N4:N22)</f>
        <v>7418395.1428571427</v>
      </c>
      <c r="O23" s="10">
        <f t="shared" ref="O23:Z23" si="7">SUM(O4:O22)</f>
        <v>6278030.7657142868</v>
      </c>
      <c r="P23" s="10">
        <f t="shared" si="7"/>
        <v>5895075.9451428577</v>
      </c>
      <c r="Q23" s="10">
        <f t="shared" si="7"/>
        <v>7970989.80357143</v>
      </c>
      <c r="R23" s="10">
        <f t="shared" si="7"/>
        <v>7578950.8571428582</v>
      </c>
      <c r="S23" s="10">
        <f t="shared" si="7"/>
        <v>6494724.8839285718</v>
      </c>
      <c r="T23" s="10">
        <f t="shared" si="7"/>
        <v>6172765.9553571418</v>
      </c>
      <c r="U23" s="10">
        <f t="shared" si="7"/>
        <v>6170163.5267857146</v>
      </c>
      <c r="V23" s="10">
        <f t="shared" si="7"/>
        <v>7722301.3571428573</v>
      </c>
      <c r="W23" s="10">
        <f t="shared" si="7"/>
        <v>7496068.1785714272</v>
      </c>
      <c r="X23" s="10">
        <f t="shared" si="7"/>
        <v>9416385.6875000037</v>
      </c>
      <c r="Y23" s="10">
        <f t="shared" si="7"/>
        <v>5729538.4553571446</v>
      </c>
      <c r="Z23" s="10">
        <f t="shared" si="7"/>
        <v>4146834.6874999995</v>
      </c>
      <c r="AA23" s="6">
        <f t="shared" si="0"/>
        <v>6780215.3154761912</v>
      </c>
      <c r="AB23" s="17">
        <f t="shared" si="1"/>
        <v>-0.15496216731064905</v>
      </c>
      <c r="AC23" s="20">
        <f t="shared" si="2"/>
        <v>-2633380.6279761917</v>
      </c>
      <c r="AD23" s="6">
        <f t="shared" si="3"/>
        <v>56270275.39777071</v>
      </c>
      <c r="AE23" s="32">
        <f t="shared" si="4"/>
        <v>78613852.103714287</v>
      </c>
      <c r="AF23" s="46">
        <f t="shared" si="5"/>
        <v>0.39707601478752985</v>
      </c>
      <c r="AG23" s="49">
        <f t="shared" si="6"/>
        <v>22343576.705943577</v>
      </c>
      <c r="AH23" s="29">
        <f>AE23/AE23</f>
        <v>1</v>
      </c>
    </row>
    <row r="24" spans="1:34" x14ac:dyDescent="0.25">
      <c r="AB24" s="17" t="e">
        <f t="shared" ref="AB24" si="8">Y24/AA24-1</f>
        <v>#DIV/0!</v>
      </c>
      <c r="AC24" s="6">
        <f t="shared" ref="AC24" si="9">Y24-AA24</f>
        <v>0</v>
      </c>
    </row>
    <row r="26" spans="1:34" x14ac:dyDescent="0.25">
      <c r="A26" s="1" t="s">
        <v>64</v>
      </c>
    </row>
    <row r="27" spans="1:34" x14ac:dyDescent="0.25">
      <c r="A27" s="1" t="s">
        <v>34</v>
      </c>
    </row>
    <row r="28" spans="1:34" x14ac:dyDescent="0.25">
      <c r="A28" s="3" t="s">
        <v>2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N28" s="3">
        <v>1</v>
      </c>
      <c r="O28" s="3">
        <v>2</v>
      </c>
      <c r="P28" s="3">
        <v>3</v>
      </c>
      <c r="Q28" s="3">
        <v>4</v>
      </c>
      <c r="R28" s="3">
        <v>5</v>
      </c>
      <c r="S28" s="3">
        <v>6</v>
      </c>
      <c r="T28" s="3">
        <v>7</v>
      </c>
      <c r="U28" s="3">
        <v>8</v>
      </c>
      <c r="V28" s="3">
        <v>9</v>
      </c>
      <c r="W28" s="3">
        <v>10</v>
      </c>
      <c r="X28" s="3">
        <v>11</v>
      </c>
      <c r="Y28" s="3">
        <v>12</v>
      </c>
      <c r="Z28" s="3">
        <v>1</v>
      </c>
      <c r="AA28" s="4" t="s">
        <v>3</v>
      </c>
      <c r="AB28" s="4" t="s">
        <v>4</v>
      </c>
      <c r="AC28" s="4" t="s">
        <v>5</v>
      </c>
      <c r="AD28" s="45" t="s">
        <v>58</v>
      </c>
      <c r="AE28" s="45" t="s">
        <v>38</v>
      </c>
      <c r="AF28" s="45" t="s">
        <v>39</v>
      </c>
      <c r="AG28" s="45" t="s">
        <v>40</v>
      </c>
      <c r="AH28" s="45" t="s">
        <v>59</v>
      </c>
    </row>
    <row r="29" spans="1:34" x14ac:dyDescent="0.25">
      <c r="A29" t="s">
        <v>41</v>
      </c>
      <c r="B29" s="6">
        <v>2766</v>
      </c>
      <c r="C29" s="6">
        <v>6377</v>
      </c>
      <c r="D29" s="6">
        <v>5402</v>
      </c>
      <c r="E29" s="6">
        <v>4158</v>
      </c>
      <c r="F29" s="6">
        <v>3528</v>
      </c>
      <c r="G29" s="6">
        <v>1369</v>
      </c>
      <c r="H29" s="6">
        <v>2181</v>
      </c>
      <c r="I29" s="6">
        <v>3026</v>
      </c>
      <c r="J29" s="6">
        <v>3050</v>
      </c>
      <c r="K29" s="6">
        <v>3808</v>
      </c>
      <c r="L29" s="6">
        <v>3213</v>
      </c>
      <c r="M29" s="7">
        <v>1115</v>
      </c>
      <c r="N29" s="7">
        <v>3844</v>
      </c>
      <c r="O29" s="7">
        <v>3228</v>
      </c>
      <c r="P29" s="7">
        <v>2869</v>
      </c>
      <c r="Q29" s="6">
        <v>5323</v>
      </c>
      <c r="R29" s="6">
        <v>4468</v>
      </c>
      <c r="S29" s="6">
        <v>3094</v>
      </c>
      <c r="T29" s="6">
        <v>3070</v>
      </c>
      <c r="U29" s="6">
        <v>3098</v>
      </c>
      <c r="V29" s="6">
        <v>3485</v>
      </c>
      <c r="W29" s="6">
        <v>4224</v>
      </c>
      <c r="X29" s="16">
        <v>7251</v>
      </c>
      <c r="Y29" s="16">
        <v>4671</v>
      </c>
      <c r="Z29" s="16">
        <v>1938</v>
      </c>
      <c r="AA29" s="6">
        <f t="shared" ref="AA29:AA48" si="10">SUM(U29:Z29)/6</f>
        <v>4111.166666666667</v>
      </c>
      <c r="AB29" s="17">
        <f t="shared" ref="AB29:AB48" si="11">Y29/AA29-1</f>
        <v>0.13617383548870943</v>
      </c>
      <c r="AC29" s="20">
        <f t="shared" ref="AC29:AC48" si="12">Z29-AA29</f>
        <v>-2173.166666666667</v>
      </c>
      <c r="AD29" s="6">
        <f>SUM(B29:L29)</f>
        <v>38878</v>
      </c>
      <c r="AE29" s="32">
        <f>SUM(N29:X29)</f>
        <v>43954</v>
      </c>
      <c r="AF29" s="29">
        <f>AE29/AD29-1</f>
        <v>0.13056227172179646</v>
      </c>
      <c r="AG29" s="49">
        <f>AE29-AD29</f>
        <v>5076</v>
      </c>
      <c r="AH29" s="46">
        <f>AE29/AE48</f>
        <v>0.3357650851367765</v>
      </c>
    </row>
    <row r="30" spans="1:34" x14ac:dyDescent="0.25">
      <c r="A30" t="s">
        <v>44</v>
      </c>
      <c r="B30" s="6">
        <v>503</v>
      </c>
      <c r="C30" s="6">
        <v>1277</v>
      </c>
      <c r="D30" s="6">
        <v>1205</v>
      </c>
      <c r="E30" s="6">
        <v>1694</v>
      </c>
      <c r="F30" s="6">
        <v>731</v>
      </c>
      <c r="G30" s="6">
        <v>84</v>
      </c>
      <c r="H30" s="6">
        <v>418</v>
      </c>
      <c r="I30" s="6">
        <v>806</v>
      </c>
      <c r="J30" s="6">
        <v>710</v>
      </c>
      <c r="K30" s="6">
        <v>782</v>
      </c>
      <c r="L30" s="6">
        <v>1142</v>
      </c>
      <c r="M30" s="7">
        <v>505</v>
      </c>
      <c r="N30" s="7">
        <v>1140</v>
      </c>
      <c r="O30" s="7">
        <v>1344</v>
      </c>
      <c r="P30" s="7">
        <v>1318</v>
      </c>
      <c r="Q30" s="6">
        <v>1518</v>
      </c>
      <c r="R30" s="6">
        <v>1626</v>
      </c>
      <c r="S30" s="6">
        <v>1212</v>
      </c>
      <c r="T30" s="6">
        <v>1235</v>
      </c>
      <c r="U30" s="6">
        <v>885</v>
      </c>
      <c r="V30" s="6">
        <v>1342</v>
      </c>
      <c r="W30" s="6">
        <v>1664</v>
      </c>
      <c r="X30" s="16">
        <v>1316</v>
      </c>
      <c r="Y30" s="16">
        <v>1141</v>
      </c>
      <c r="Z30" s="16">
        <v>634</v>
      </c>
      <c r="AA30" s="6">
        <f t="shared" si="10"/>
        <v>1163.6666666666667</v>
      </c>
      <c r="AB30" s="17">
        <f t="shared" si="11"/>
        <v>-1.9478659409911225E-2</v>
      </c>
      <c r="AC30" s="20">
        <f t="shared" si="12"/>
        <v>-529.66666666666674</v>
      </c>
      <c r="AD30" s="6">
        <f t="shared" ref="AD30:AD48" si="13">SUM(B30:L30)</f>
        <v>9352</v>
      </c>
      <c r="AE30" s="32">
        <f t="shared" ref="AE30:AE48" si="14">SUM(N30:X30)</f>
        <v>14600</v>
      </c>
      <c r="AF30" s="29">
        <f t="shared" ref="AF30:AF48" si="15">AE30/AD30-1</f>
        <v>0.56116338751069295</v>
      </c>
      <c r="AG30" s="49">
        <f t="shared" ref="AG30:AG48" si="16">AE30-AD30</f>
        <v>5248</v>
      </c>
      <c r="AH30" s="46">
        <f>AE30/AE48</f>
        <v>0.11152955915268091</v>
      </c>
    </row>
    <row r="31" spans="1:34" x14ac:dyDescent="0.25">
      <c r="A31" t="s">
        <v>10</v>
      </c>
      <c r="B31" s="6">
        <v>616</v>
      </c>
      <c r="C31" s="6">
        <v>556</v>
      </c>
      <c r="D31" s="6">
        <v>536</v>
      </c>
      <c r="E31" s="6">
        <v>672</v>
      </c>
      <c r="F31" s="6">
        <v>524</v>
      </c>
      <c r="G31" s="6">
        <v>166</v>
      </c>
      <c r="H31" s="6">
        <v>612</v>
      </c>
      <c r="I31" s="6">
        <v>484</v>
      </c>
      <c r="J31" s="6">
        <v>937</v>
      </c>
      <c r="K31" s="6">
        <v>772</v>
      </c>
      <c r="L31" s="6">
        <v>1100</v>
      </c>
      <c r="M31" s="7">
        <v>364</v>
      </c>
      <c r="N31" s="7">
        <v>1298</v>
      </c>
      <c r="O31" s="7">
        <v>683</v>
      </c>
      <c r="P31" s="7">
        <v>674</v>
      </c>
      <c r="Q31" s="6">
        <v>802</v>
      </c>
      <c r="R31" s="6">
        <v>784</v>
      </c>
      <c r="S31" s="6">
        <v>956</v>
      </c>
      <c r="T31" s="6">
        <v>526</v>
      </c>
      <c r="U31" s="6">
        <v>935</v>
      </c>
      <c r="V31" s="6">
        <v>787</v>
      </c>
      <c r="W31" s="6">
        <v>917</v>
      </c>
      <c r="X31" s="16">
        <v>1345</v>
      </c>
      <c r="Y31" s="16">
        <v>484</v>
      </c>
      <c r="Z31" s="16">
        <v>739</v>
      </c>
      <c r="AA31" s="6">
        <f t="shared" si="10"/>
        <v>867.83333333333337</v>
      </c>
      <c r="AB31" s="17">
        <f t="shared" si="11"/>
        <v>-0.44228922604186671</v>
      </c>
      <c r="AC31" s="20">
        <f t="shared" si="12"/>
        <v>-128.83333333333337</v>
      </c>
      <c r="AD31" s="6">
        <f t="shared" si="13"/>
        <v>6975</v>
      </c>
      <c r="AE31" s="32">
        <f t="shared" si="14"/>
        <v>9707</v>
      </c>
      <c r="AF31" s="29">
        <f t="shared" si="15"/>
        <v>0.39168458781362014</v>
      </c>
      <c r="AG31" s="49">
        <f t="shared" si="16"/>
        <v>2732</v>
      </c>
      <c r="AH31" s="46">
        <f>AE31/AE48</f>
        <v>7.4151878814731065E-2</v>
      </c>
    </row>
    <row r="32" spans="1:34" x14ac:dyDescent="0.25">
      <c r="A32" t="s">
        <v>47</v>
      </c>
      <c r="B32" s="6">
        <v>466</v>
      </c>
      <c r="C32" s="6">
        <v>399</v>
      </c>
      <c r="D32" s="6">
        <v>371</v>
      </c>
      <c r="E32" s="6">
        <v>354</v>
      </c>
      <c r="F32" s="6">
        <v>594</v>
      </c>
      <c r="G32" s="6">
        <v>102</v>
      </c>
      <c r="H32" s="6">
        <v>291</v>
      </c>
      <c r="I32" s="6">
        <v>439</v>
      </c>
      <c r="J32" s="6">
        <v>536</v>
      </c>
      <c r="K32" s="6">
        <v>318</v>
      </c>
      <c r="L32" s="6">
        <v>498</v>
      </c>
      <c r="M32" s="7">
        <v>222</v>
      </c>
      <c r="N32" s="7">
        <v>564</v>
      </c>
      <c r="O32" s="7">
        <v>321</v>
      </c>
      <c r="P32" s="7">
        <v>385</v>
      </c>
      <c r="Q32" s="6">
        <v>422</v>
      </c>
      <c r="R32" s="6">
        <v>478</v>
      </c>
      <c r="S32" s="6">
        <v>347</v>
      </c>
      <c r="T32" s="6">
        <v>514</v>
      </c>
      <c r="U32" s="6">
        <v>367</v>
      </c>
      <c r="V32" s="6">
        <v>444</v>
      </c>
      <c r="W32" s="6">
        <v>382</v>
      </c>
      <c r="X32" s="16">
        <v>538</v>
      </c>
      <c r="Y32" s="16">
        <v>334</v>
      </c>
      <c r="Z32" s="16">
        <v>226</v>
      </c>
      <c r="AA32" s="6">
        <f t="shared" si="10"/>
        <v>381.83333333333331</v>
      </c>
      <c r="AB32" s="17">
        <f t="shared" si="11"/>
        <v>-0.12527280663465734</v>
      </c>
      <c r="AC32" s="20">
        <f t="shared" si="12"/>
        <v>-155.83333333333331</v>
      </c>
      <c r="AD32" s="6">
        <f t="shared" si="13"/>
        <v>4368</v>
      </c>
      <c r="AE32" s="32">
        <f t="shared" si="14"/>
        <v>4762</v>
      </c>
      <c r="AF32" s="29">
        <f t="shared" si="15"/>
        <v>9.0201465201465103E-2</v>
      </c>
      <c r="AG32" s="49">
        <f t="shared" si="16"/>
        <v>394</v>
      </c>
      <c r="AH32" s="46">
        <f>AE32/AE48</f>
        <v>3.6376969909936059E-2</v>
      </c>
    </row>
    <row r="33" spans="1:34" x14ac:dyDescent="0.25">
      <c r="A33" t="s">
        <v>49</v>
      </c>
      <c r="B33" s="6">
        <v>8</v>
      </c>
      <c r="C33" s="6">
        <v>365</v>
      </c>
      <c r="D33" s="6">
        <v>399</v>
      </c>
      <c r="E33" s="6">
        <v>307</v>
      </c>
      <c r="F33" s="6">
        <v>88</v>
      </c>
      <c r="G33" s="6">
        <v>12</v>
      </c>
      <c r="H33" s="6">
        <v>80</v>
      </c>
      <c r="I33" s="6">
        <v>304</v>
      </c>
      <c r="J33" s="6">
        <v>141</v>
      </c>
      <c r="K33" s="6">
        <v>356</v>
      </c>
      <c r="L33" s="6">
        <v>196</v>
      </c>
      <c r="M33" s="7">
        <v>241</v>
      </c>
      <c r="N33" s="7">
        <v>377</v>
      </c>
      <c r="O33" s="7">
        <v>273</v>
      </c>
      <c r="P33" s="7">
        <v>240</v>
      </c>
      <c r="Q33" s="6">
        <v>547</v>
      </c>
      <c r="R33" s="6">
        <v>400</v>
      </c>
      <c r="S33" s="6">
        <v>291</v>
      </c>
      <c r="T33" s="6">
        <v>240</v>
      </c>
      <c r="U33" s="6">
        <v>168</v>
      </c>
      <c r="V33" s="6">
        <v>624</v>
      </c>
      <c r="W33" s="6">
        <v>386</v>
      </c>
      <c r="X33" s="16">
        <v>536</v>
      </c>
      <c r="Y33" s="16">
        <v>619</v>
      </c>
      <c r="Z33" s="16">
        <v>88</v>
      </c>
      <c r="AA33" s="6">
        <f t="shared" si="10"/>
        <v>403.5</v>
      </c>
      <c r="AB33" s="17">
        <f t="shared" si="11"/>
        <v>0.53407682775712506</v>
      </c>
      <c r="AC33" s="20">
        <f t="shared" si="12"/>
        <v>-315.5</v>
      </c>
      <c r="AD33" s="6">
        <f t="shared" si="13"/>
        <v>2256</v>
      </c>
      <c r="AE33" s="32">
        <f t="shared" si="14"/>
        <v>4082</v>
      </c>
      <c r="AF33" s="29">
        <f t="shared" si="15"/>
        <v>0.80939716312056742</v>
      </c>
      <c r="AG33" s="49">
        <f t="shared" si="16"/>
        <v>1826</v>
      </c>
      <c r="AH33" s="46">
        <f>AE33/AE48</f>
        <v>3.1182442497345444E-2</v>
      </c>
    </row>
    <row r="34" spans="1:34" x14ac:dyDescent="0.25">
      <c r="A34" t="s">
        <v>13</v>
      </c>
      <c r="B34" s="6">
        <v>1096</v>
      </c>
      <c r="C34" s="6">
        <v>1273</v>
      </c>
      <c r="D34" s="6">
        <v>755</v>
      </c>
      <c r="E34" s="6">
        <v>1077</v>
      </c>
      <c r="F34" s="6">
        <v>958</v>
      </c>
      <c r="G34" s="6">
        <v>575</v>
      </c>
      <c r="H34" s="6">
        <v>402</v>
      </c>
      <c r="I34" s="6">
        <v>1421</v>
      </c>
      <c r="J34" s="6">
        <v>940</v>
      </c>
      <c r="K34" s="6">
        <v>1241</v>
      </c>
      <c r="L34" s="6">
        <v>1612</v>
      </c>
      <c r="M34" s="7">
        <v>473</v>
      </c>
      <c r="N34" s="7">
        <v>863</v>
      </c>
      <c r="O34" s="7">
        <v>1110</v>
      </c>
      <c r="P34" s="7">
        <v>1203</v>
      </c>
      <c r="Q34" s="6">
        <v>864</v>
      </c>
      <c r="R34" s="6">
        <v>1297</v>
      </c>
      <c r="S34" s="6">
        <v>1201</v>
      </c>
      <c r="T34" s="6">
        <v>1063</v>
      </c>
      <c r="U34" s="6">
        <v>1066</v>
      </c>
      <c r="V34" s="6">
        <v>1464</v>
      </c>
      <c r="W34" s="6">
        <v>1425</v>
      </c>
      <c r="X34" s="16">
        <v>1320</v>
      </c>
      <c r="Y34" s="16">
        <v>460</v>
      </c>
      <c r="Z34" s="16">
        <v>1044</v>
      </c>
      <c r="AA34" s="6">
        <f t="shared" si="10"/>
        <v>1129.8333333333333</v>
      </c>
      <c r="AB34" s="17">
        <f t="shared" si="11"/>
        <v>-0.59286030387962829</v>
      </c>
      <c r="AC34" s="20">
        <f t="shared" si="12"/>
        <v>-85.833333333333258</v>
      </c>
      <c r="AD34" s="6">
        <f t="shared" si="13"/>
        <v>11350</v>
      </c>
      <c r="AE34" s="32">
        <f t="shared" si="14"/>
        <v>12876</v>
      </c>
      <c r="AF34" s="29">
        <f t="shared" si="15"/>
        <v>0.13444933920704849</v>
      </c>
      <c r="AG34" s="49">
        <f t="shared" si="16"/>
        <v>1526</v>
      </c>
      <c r="AH34" s="46">
        <f>AE34/AE48</f>
        <v>9.8359904359583528E-2</v>
      </c>
    </row>
    <row r="35" spans="1:34" x14ac:dyDescent="0.25">
      <c r="A35" t="s">
        <v>50</v>
      </c>
      <c r="B35" s="6">
        <v>157</v>
      </c>
      <c r="C35" s="6">
        <v>354</v>
      </c>
      <c r="D35" s="6">
        <v>374</v>
      </c>
      <c r="E35" s="6">
        <v>468</v>
      </c>
      <c r="F35" s="6">
        <v>432</v>
      </c>
      <c r="G35" s="6">
        <v>94</v>
      </c>
      <c r="H35" s="6">
        <v>162</v>
      </c>
      <c r="I35" s="6">
        <v>342</v>
      </c>
      <c r="J35" s="6">
        <v>677</v>
      </c>
      <c r="K35" s="6">
        <v>412</v>
      </c>
      <c r="L35" s="6">
        <v>476</v>
      </c>
      <c r="M35" s="7">
        <v>180</v>
      </c>
      <c r="N35" s="7">
        <v>530</v>
      </c>
      <c r="O35" s="7">
        <v>318</v>
      </c>
      <c r="P35" s="7">
        <v>326</v>
      </c>
      <c r="Q35" s="6">
        <v>593</v>
      </c>
      <c r="R35" s="6">
        <v>342</v>
      </c>
      <c r="S35" s="6">
        <v>394</v>
      </c>
      <c r="T35" s="6">
        <v>355</v>
      </c>
      <c r="U35" s="6">
        <v>337</v>
      </c>
      <c r="V35" s="6">
        <v>487</v>
      </c>
      <c r="W35" s="6">
        <v>266</v>
      </c>
      <c r="X35" s="16">
        <v>420</v>
      </c>
      <c r="Y35" s="16">
        <v>264</v>
      </c>
      <c r="Z35" s="16">
        <v>266</v>
      </c>
      <c r="AA35" s="6">
        <f t="shared" si="10"/>
        <v>340</v>
      </c>
      <c r="AB35" s="17">
        <f t="shared" si="11"/>
        <v>-0.22352941176470587</v>
      </c>
      <c r="AC35" s="20">
        <f t="shared" si="12"/>
        <v>-74</v>
      </c>
      <c r="AD35" s="6">
        <f t="shared" si="13"/>
        <v>3948</v>
      </c>
      <c r="AE35" s="32">
        <f t="shared" si="14"/>
        <v>4368</v>
      </c>
      <c r="AF35" s="29">
        <f t="shared" si="15"/>
        <v>0.1063829787234043</v>
      </c>
      <c r="AG35" s="49">
        <f t="shared" si="16"/>
        <v>420</v>
      </c>
      <c r="AH35" s="46">
        <f>AE35/AE48</f>
        <v>3.3367199614993848E-2</v>
      </c>
    </row>
    <row r="36" spans="1:34" x14ac:dyDescent="0.25">
      <c r="A36" t="s">
        <v>51</v>
      </c>
      <c r="B36" s="6">
        <v>44</v>
      </c>
      <c r="C36" s="6">
        <v>345</v>
      </c>
      <c r="D36" s="6">
        <v>124</v>
      </c>
      <c r="E36" s="6">
        <v>140</v>
      </c>
      <c r="F36" s="6">
        <v>230</v>
      </c>
      <c r="G36" s="6">
        <v>15</v>
      </c>
      <c r="H36" s="6">
        <v>60</v>
      </c>
      <c r="I36" s="6">
        <v>419</v>
      </c>
      <c r="J36" s="6">
        <v>417</v>
      </c>
      <c r="K36" s="6">
        <v>320</v>
      </c>
      <c r="L36" s="6">
        <v>330</v>
      </c>
      <c r="M36" s="7">
        <v>110</v>
      </c>
      <c r="N36" s="7">
        <v>310</v>
      </c>
      <c r="O36" s="7">
        <v>352</v>
      </c>
      <c r="P36" s="7">
        <v>121</v>
      </c>
      <c r="Q36" s="6">
        <v>293</v>
      </c>
      <c r="R36" s="6">
        <v>214</v>
      </c>
      <c r="S36" s="6">
        <v>130</v>
      </c>
      <c r="T36" s="6">
        <v>291</v>
      </c>
      <c r="U36" s="6">
        <v>85</v>
      </c>
      <c r="V36" s="6">
        <v>231</v>
      </c>
      <c r="W36" s="6">
        <v>225</v>
      </c>
      <c r="X36" s="16">
        <v>333</v>
      </c>
      <c r="Y36" s="16">
        <v>131</v>
      </c>
      <c r="Z36" s="16">
        <v>113</v>
      </c>
      <c r="AA36" s="6">
        <f t="shared" si="10"/>
        <v>186.33333333333334</v>
      </c>
      <c r="AB36" s="17">
        <f t="shared" si="11"/>
        <v>-0.29695885509839004</v>
      </c>
      <c r="AC36" s="20">
        <f t="shared" si="12"/>
        <v>-73.333333333333343</v>
      </c>
      <c r="AD36" s="6">
        <f t="shared" si="13"/>
        <v>2444</v>
      </c>
      <c r="AE36" s="32">
        <f t="shared" si="14"/>
        <v>2585</v>
      </c>
      <c r="AF36" s="29">
        <f t="shared" si="15"/>
        <v>5.7692307692307709E-2</v>
      </c>
      <c r="AG36" s="49">
        <f t="shared" si="16"/>
        <v>141</v>
      </c>
      <c r="AH36" s="46">
        <f>AE36/AE48</f>
        <v>1.9746843178745217E-2</v>
      </c>
    </row>
    <row r="37" spans="1:34" x14ac:dyDescent="0.25">
      <c r="A37" t="s">
        <v>52</v>
      </c>
      <c r="B37" s="6">
        <v>842</v>
      </c>
      <c r="C37" s="6">
        <v>443</v>
      </c>
      <c r="D37" s="6">
        <v>480</v>
      </c>
      <c r="E37" s="6">
        <v>1160</v>
      </c>
      <c r="F37" s="6">
        <v>403</v>
      </c>
      <c r="G37" s="6">
        <v>313</v>
      </c>
      <c r="H37" s="6">
        <v>223</v>
      </c>
      <c r="I37" s="6">
        <v>1107</v>
      </c>
      <c r="J37" s="6">
        <v>1050</v>
      </c>
      <c r="K37" s="6">
        <v>841</v>
      </c>
      <c r="L37" s="6">
        <v>964</v>
      </c>
      <c r="M37" s="7">
        <v>554</v>
      </c>
      <c r="N37" s="7">
        <v>1238</v>
      </c>
      <c r="O37" s="7">
        <v>987</v>
      </c>
      <c r="P37" s="7">
        <v>1071</v>
      </c>
      <c r="Q37" s="6">
        <v>1640</v>
      </c>
      <c r="R37" s="6">
        <v>1892</v>
      </c>
      <c r="S37" s="6">
        <v>1118</v>
      </c>
      <c r="T37" s="6">
        <v>1172</v>
      </c>
      <c r="U37" s="6">
        <v>1318</v>
      </c>
      <c r="V37" s="6">
        <v>1152</v>
      </c>
      <c r="W37" s="6">
        <v>1078</v>
      </c>
      <c r="X37" s="16">
        <v>1470</v>
      </c>
      <c r="Y37" s="16">
        <v>792</v>
      </c>
      <c r="Z37" s="16">
        <v>912</v>
      </c>
      <c r="AA37" s="6">
        <f t="shared" si="10"/>
        <v>1120.3333333333333</v>
      </c>
      <c r="AB37" s="17">
        <f t="shared" si="11"/>
        <v>-0.29306753942279073</v>
      </c>
      <c r="AC37" s="20">
        <f t="shared" si="12"/>
        <v>-208.33333333333326</v>
      </c>
      <c r="AD37" s="6">
        <f t="shared" si="13"/>
        <v>7826</v>
      </c>
      <c r="AE37" s="32">
        <f t="shared" si="14"/>
        <v>14136</v>
      </c>
      <c r="AF37" s="29">
        <f t="shared" si="15"/>
        <v>0.80628673651929472</v>
      </c>
      <c r="AG37" s="49">
        <f t="shared" si="16"/>
        <v>6310</v>
      </c>
      <c r="AH37" s="46">
        <f>AE37/AE48</f>
        <v>0.1079850580946779</v>
      </c>
    </row>
    <row r="38" spans="1:34" x14ac:dyDescent="0.25">
      <c r="A38" t="s">
        <v>17</v>
      </c>
      <c r="B38" s="6">
        <v>276</v>
      </c>
      <c r="C38" s="6">
        <v>533</v>
      </c>
      <c r="D38" s="6">
        <v>180</v>
      </c>
      <c r="E38" s="6">
        <v>336</v>
      </c>
      <c r="F38" s="6">
        <v>342</v>
      </c>
      <c r="G38" s="6">
        <v>128</v>
      </c>
      <c r="H38" s="6">
        <v>18</v>
      </c>
      <c r="I38" s="6">
        <v>234</v>
      </c>
      <c r="J38" s="6">
        <v>255</v>
      </c>
      <c r="K38" s="6">
        <v>329</v>
      </c>
      <c r="L38" s="6">
        <v>375</v>
      </c>
      <c r="M38" s="7">
        <v>56</v>
      </c>
      <c r="N38" s="7">
        <v>288</v>
      </c>
      <c r="O38" s="7">
        <v>161</v>
      </c>
      <c r="P38" s="7">
        <v>90</v>
      </c>
      <c r="Q38" s="6">
        <v>372</v>
      </c>
      <c r="R38" s="6">
        <v>118</v>
      </c>
      <c r="S38" s="6">
        <v>299</v>
      </c>
      <c r="T38" s="6">
        <v>286</v>
      </c>
      <c r="U38" s="6">
        <v>329</v>
      </c>
      <c r="V38" s="6">
        <v>309</v>
      </c>
      <c r="W38" s="6">
        <v>179</v>
      </c>
      <c r="X38" s="16">
        <v>373</v>
      </c>
      <c r="Y38" s="16">
        <v>97</v>
      </c>
      <c r="Z38" s="16">
        <v>284</v>
      </c>
      <c r="AA38" s="6">
        <f t="shared" si="10"/>
        <v>261.83333333333331</v>
      </c>
      <c r="AB38" s="17">
        <f t="shared" si="11"/>
        <v>-0.62953532781667731</v>
      </c>
      <c r="AC38" s="20">
        <f t="shared" si="12"/>
        <v>22.166666666666686</v>
      </c>
      <c r="AD38" s="6">
        <f t="shared" si="13"/>
        <v>3006</v>
      </c>
      <c r="AE38" s="32">
        <f t="shared" si="14"/>
        <v>2804</v>
      </c>
      <c r="AF38" s="31">
        <f t="shared" si="15"/>
        <v>-6.7198935462408516E-2</v>
      </c>
      <c r="AG38" s="50">
        <f t="shared" si="16"/>
        <v>-202</v>
      </c>
      <c r="AH38" s="46">
        <f>AE38/AE48</f>
        <v>2.141978656603543E-2</v>
      </c>
    </row>
    <row r="39" spans="1:34" x14ac:dyDescent="0.25">
      <c r="A39" t="s">
        <v>18</v>
      </c>
      <c r="B39" s="6"/>
      <c r="C39" s="6"/>
      <c r="D39" s="6"/>
      <c r="E39" s="6"/>
      <c r="F39" s="6">
        <v>162</v>
      </c>
      <c r="G39" s="6">
        <v>30</v>
      </c>
      <c r="H39" s="6">
        <v>49</v>
      </c>
      <c r="I39" s="6">
        <v>213</v>
      </c>
      <c r="J39" s="6">
        <v>270</v>
      </c>
      <c r="K39" s="6">
        <v>228</v>
      </c>
      <c r="L39" s="6">
        <v>217</v>
      </c>
      <c r="M39" s="7">
        <v>162</v>
      </c>
      <c r="N39" s="7">
        <v>201</v>
      </c>
      <c r="O39" s="7">
        <v>364</v>
      </c>
      <c r="P39" s="7">
        <v>270</v>
      </c>
      <c r="Q39" s="6">
        <v>226</v>
      </c>
      <c r="R39" s="6">
        <v>297</v>
      </c>
      <c r="S39" s="6">
        <v>413</v>
      </c>
      <c r="T39" s="6">
        <v>306</v>
      </c>
      <c r="U39" s="6">
        <v>199</v>
      </c>
      <c r="V39" s="6">
        <v>577</v>
      </c>
      <c r="W39" s="6">
        <v>342</v>
      </c>
      <c r="X39" s="16">
        <v>386</v>
      </c>
      <c r="Y39" s="16">
        <v>124</v>
      </c>
      <c r="Z39" s="16">
        <v>289</v>
      </c>
      <c r="AA39" s="6">
        <f t="shared" si="10"/>
        <v>319.5</v>
      </c>
      <c r="AB39" s="17">
        <f t="shared" si="11"/>
        <v>-0.61189358372456959</v>
      </c>
      <c r="AC39" s="20">
        <f t="shared" si="12"/>
        <v>-30.5</v>
      </c>
      <c r="AD39" s="6">
        <f t="shared" si="13"/>
        <v>1169</v>
      </c>
      <c r="AE39" s="32">
        <f t="shared" si="14"/>
        <v>3581</v>
      </c>
      <c r="AF39" s="29">
        <f t="shared" si="15"/>
        <v>2.0633019674935844</v>
      </c>
      <c r="AG39" s="49">
        <f t="shared" si="16"/>
        <v>2412</v>
      </c>
      <c r="AH39" s="46">
        <f>AE39/AE48</f>
        <v>2.7355298036010299E-2</v>
      </c>
    </row>
    <row r="40" spans="1:34" x14ac:dyDescent="0.25">
      <c r="A40" t="s">
        <v>53</v>
      </c>
      <c r="B40" s="6">
        <v>56</v>
      </c>
      <c r="C40" s="6">
        <v>239</v>
      </c>
      <c r="D40" s="6">
        <v>160</v>
      </c>
      <c r="E40" s="6">
        <v>104</v>
      </c>
      <c r="F40" s="6">
        <v>140</v>
      </c>
      <c r="G40" s="6"/>
      <c r="H40" s="6"/>
      <c r="I40" s="6">
        <v>130</v>
      </c>
      <c r="J40" s="6">
        <v>272</v>
      </c>
      <c r="K40" s="6">
        <v>169</v>
      </c>
      <c r="L40" s="6">
        <v>248</v>
      </c>
      <c r="M40" s="7">
        <v>138</v>
      </c>
      <c r="N40" s="7">
        <v>252</v>
      </c>
      <c r="O40" s="7">
        <v>210</v>
      </c>
      <c r="P40" s="7">
        <v>245</v>
      </c>
      <c r="Q40" s="6">
        <v>192</v>
      </c>
      <c r="R40" s="6">
        <v>264</v>
      </c>
      <c r="S40" s="6">
        <v>292</v>
      </c>
      <c r="T40" s="6">
        <v>259</v>
      </c>
      <c r="U40" s="6">
        <v>236</v>
      </c>
      <c r="V40" s="6">
        <v>193</v>
      </c>
      <c r="W40" s="6">
        <v>202</v>
      </c>
      <c r="X40" s="16">
        <v>262</v>
      </c>
      <c r="Y40" s="16">
        <v>96</v>
      </c>
      <c r="Z40" s="16">
        <v>184</v>
      </c>
      <c r="AA40" s="6">
        <f t="shared" si="10"/>
        <v>195.5</v>
      </c>
      <c r="AB40" s="17">
        <f t="shared" si="11"/>
        <v>-0.50895140664961636</v>
      </c>
      <c r="AC40" s="20">
        <f t="shared" si="12"/>
        <v>-11.5</v>
      </c>
      <c r="AD40" s="6">
        <f t="shared" si="13"/>
        <v>1518</v>
      </c>
      <c r="AE40" s="32">
        <f t="shared" si="14"/>
        <v>2607</v>
      </c>
      <c r="AF40" s="29">
        <f t="shared" si="15"/>
        <v>0.71739130434782616</v>
      </c>
      <c r="AG40" s="49">
        <f t="shared" si="16"/>
        <v>1089</v>
      </c>
      <c r="AH40" s="46">
        <f>AE40/AE48</f>
        <v>1.9914901418564324E-2</v>
      </c>
    </row>
    <row r="41" spans="1:34" x14ac:dyDescent="0.25">
      <c r="A41" t="s">
        <v>20</v>
      </c>
      <c r="B41" s="6">
        <v>-30</v>
      </c>
      <c r="C41" s="6">
        <v>217</v>
      </c>
      <c r="D41" s="6">
        <v>134</v>
      </c>
      <c r="E41" s="6">
        <v>86</v>
      </c>
      <c r="F41" s="6">
        <v>142</v>
      </c>
      <c r="G41" s="6">
        <v>47</v>
      </c>
      <c r="H41" s="6">
        <v>152</v>
      </c>
      <c r="I41" s="6">
        <v>175</v>
      </c>
      <c r="J41" s="6">
        <v>115</v>
      </c>
      <c r="K41" s="6">
        <v>90</v>
      </c>
      <c r="L41" s="6">
        <v>159</v>
      </c>
      <c r="M41" s="7">
        <v>60</v>
      </c>
      <c r="N41" s="7">
        <v>218</v>
      </c>
      <c r="O41" s="7">
        <v>74</v>
      </c>
      <c r="P41" s="7">
        <v>119</v>
      </c>
      <c r="Q41" s="6">
        <v>112</v>
      </c>
      <c r="R41" s="6">
        <v>66</v>
      </c>
      <c r="S41" s="6">
        <v>256</v>
      </c>
      <c r="T41" s="6">
        <v>267</v>
      </c>
      <c r="U41" s="6">
        <v>254</v>
      </c>
      <c r="V41" s="6">
        <v>174</v>
      </c>
      <c r="W41" s="6">
        <v>140</v>
      </c>
      <c r="X41" s="16">
        <v>110</v>
      </c>
      <c r="Y41" s="16">
        <v>120</v>
      </c>
      <c r="Z41" s="16">
        <v>75</v>
      </c>
      <c r="AA41" s="6">
        <f t="shared" si="10"/>
        <v>145.5</v>
      </c>
      <c r="AB41" s="17">
        <f t="shared" si="11"/>
        <v>-0.17525773195876293</v>
      </c>
      <c r="AC41" s="20">
        <f t="shared" si="12"/>
        <v>-70.5</v>
      </c>
      <c r="AD41" s="6">
        <f t="shared" si="13"/>
        <v>1287</v>
      </c>
      <c r="AE41" s="32">
        <f t="shared" si="14"/>
        <v>1790</v>
      </c>
      <c r="AF41" s="29">
        <f t="shared" si="15"/>
        <v>0.39083139083139073</v>
      </c>
      <c r="AG41" s="49">
        <f t="shared" si="16"/>
        <v>503</v>
      </c>
      <c r="AH41" s="46">
        <f>AE41/AE48</f>
        <v>1.3673829512554714E-2</v>
      </c>
    </row>
    <row r="42" spans="1:34" x14ac:dyDescent="0.25">
      <c r="A42" t="s">
        <v>21</v>
      </c>
      <c r="B42" s="6"/>
      <c r="C42" s="6"/>
      <c r="D42" s="6"/>
      <c r="E42" s="6"/>
      <c r="F42" s="6"/>
      <c r="G42" s="6"/>
      <c r="H42" s="6"/>
      <c r="I42" s="6"/>
      <c r="J42" s="6">
        <v>864</v>
      </c>
      <c r="K42" s="6">
        <v>566</v>
      </c>
      <c r="L42" s="6">
        <v>828</v>
      </c>
      <c r="M42" s="6">
        <v>307</v>
      </c>
      <c r="N42" s="7">
        <v>819</v>
      </c>
      <c r="O42" s="7">
        <v>645</v>
      </c>
      <c r="P42" s="7">
        <v>461</v>
      </c>
      <c r="Q42" s="7">
        <v>672</v>
      </c>
      <c r="R42" s="7">
        <v>499</v>
      </c>
      <c r="S42" s="7">
        <v>613</v>
      </c>
      <c r="T42" s="7">
        <v>650</v>
      </c>
      <c r="U42" s="7">
        <v>710</v>
      </c>
      <c r="V42" s="7">
        <v>728</v>
      </c>
      <c r="W42" s="7">
        <v>422</v>
      </c>
      <c r="X42" s="16">
        <v>759</v>
      </c>
      <c r="Y42" s="16">
        <v>267</v>
      </c>
      <c r="Z42" s="16">
        <v>286</v>
      </c>
      <c r="AA42" s="6">
        <f t="shared" si="10"/>
        <v>528.66666666666663</v>
      </c>
      <c r="AB42" s="17">
        <f t="shared" si="11"/>
        <v>-0.49495586380832279</v>
      </c>
      <c r="AC42" s="20">
        <f t="shared" si="12"/>
        <v>-242.66666666666663</v>
      </c>
      <c r="AD42" s="6">
        <f t="shared" si="13"/>
        <v>2258</v>
      </c>
      <c r="AE42" s="32">
        <f t="shared" si="14"/>
        <v>6978</v>
      </c>
      <c r="AF42" s="29">
        <f t="shared" si="15"/>
        <v>2.0903454384410982</v>
      </c>
      <c r="AG42" s="49">
        <f t="shared" si="16"/>
        <v>4720</v>
      </c>
      <c r="AH42" s="46">
        <f>AE42/AE48</f>
        <v>5.3305018066260777E-2</v>
      </c>
    </row>
    <row r="43" spans="1:34" x14ac:dyDescent="0.25">
      <c r="A43" t="s">
        <v>54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>
        <v>172</v>
      </c>
      <c r="O43" s="7">
        <v>94</v>
      </c>
      <c r="P43" s="7">
        <v>103</v>
      </c>
      <c r="Q43" s="7">
        <v>62</v>
      </c>
      <c r="R43" s="7">
        <v>75</v>
      </c>
      <c r="S43" s="7">
        <v>169</v>
      </c>
      <c r="T43" s="7">
        <v>83</v>
      </c>
      <c r="U43" s="7">
        <v>73</v>
      </c>
      <c r="V43" s="7">
        <v>126</v>
      </c>
      <c r="W43" s="7">
        <v>197</v>
      </c>
      <c r="X43" s="16">
        <v>132</v>
      </c>
      <c r="Y43" s="16">
        <v>19</v>
      </c>
      <c r="Z43" s="16">
        <v>87</v>
      </c>
      <c r="AA43" s="6">
        <f t="shared" si="10"/>
        <v>105.66666666666667</v>
      </c>
      <c r="AB43" s="17">
        <f t="shared" si="11"/>
        <v>-0.82018927444794953</v>
      </c>
      <c r="AC43" s="20">
        <f t="shared" si="12"/>
        <v>-18.666666666666671</v>
      </c>
      <c r="AD43" s="6">
        <f t="shared" si="13"/>
        <v>0</v>
      </c>
      <c r="AE43" s="32">
        <f t="shared" si="14"/>
        <v>1286</v>
      </c>
      <c r="AF43" s="29" t="e">
        <f t="shared" si="15"/>
        <v>#DIV/0!</v>
      </c>
      <c r="AG43" s="49">
        <f t="shared" si="16"/>
        <v>1286</v>
      </c>
      <c r="AH43" s="46">
        <f>AE43/AE48</f>
        <v>9.8237680185169624E-3</v>
      </c>
    </row>
    <row r="44" spans="1:34" x14ac:dyDescent="0.25">
      <c r="A44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/>
      <c r="O44" s="7"/>
      <c r="P44" s="7"/>
      <c r="Q44" s="7"/>
      <c r="R44" s="7"/>
      <c r="S44" s="7"/>
      <c r="T44" s="7"/>
      <c r="U44" s="7">
        <v>460</v>
      </c>
      <c r="V44" s="7">
        <v>100</v>
      </c>
      <c r="W44" s="7">
        <v>84</v>
      </c>
      <c r="X44" s="16">
        <v>147</v>
      </c>
      <c r="Y44" s="16">
        <v>26</v>
      </c>
      <c r="Z44" s="16">
        <v>70</v>
      </c>
      <c r="AA44" s="6">
        <f t="shared" si="10"/>
        <v>147.83333333333334</v>
      </c>
      <c r="AB44" s="17">
        <f t="shared" si="11"/>
        <v>-0.82412626832018043</v>
      </c>
      <c r="AC44" s="20">
        <f t="shared" si="12"/>
        <v>-77.833333333333343</v>
      </c>
      <c r="AD44" s="6">
        <f t="shared" si="13"/>
        <v>0</v>
      </c>
      <c r="AE44" s="32">
        <f t="shared" si="14"/>
        <v>791</v>
      </c>
      <c r="AF44" s="29" t="e">
        <f t="shared" si="15"/>
        <v>#DIV/0!</v>
      </c>
      <c r="AG44" s="49">
        <f t="shared" si="16"/>
        <v>791</v>
      </c>
      <c r="AH44" s="46">
        <f>AE44/AE48</f>
        <v>6.0424576225870273E-3</v>
      </c>
    </row>
    <row r="45" spans="1:34" x14ac:dyDescent="0.25">
      <c r="A45" t="s">
        <v>24</v>
      </c>
      <c r="B45" s="6">
        <v>20</v>
      </c>
      <c r="C45" s="6">
        <v>261</v>
      </c>
      <c r="D45" s="6">
        <v>13</v>
      </c>
      <c r="E45" s="6"/>
      <c r="F45" s="6">
        <v>680</v>
      </c>
      <c r="G45" s="6"/>
      <c r="H45" s="6"/>
      <c r="I45" s="6">
        <v>80</v>
      </c>
      <c r="J45" s="6">
        <v>39</v>
      </c>
      <c r="K45" s="6"/>
      <c r="L45" s="6"/>
      <c r="M45" s="6">
        <v>25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6">
        <f t="shared" si="10"/>
        <v>0</v>
      </c>
      <c r="AB45" s="17" t="e">
        <f t="shared" si="11"/>
        <v>#DIV/0!</v>
      </c>
      <c r="AC45" s="20">
        <f t="shared" si="12"/>
        <v>0</v>
      </c>
      <c r="AD45" s="6">
        <f t="shared" si="13"/>
        <v>1093</v>
      </c>
      <c r="AE45" s="32">
        <f t="shared" si="14"/>
        <v>0</v>
      </c>
      <c r="AF45" s="29">
        <f t="shared" si="15"/>
        <v>-1</v>
      </c>
      <c r="AG45" s="49">
        <f t="shared" si="16"/>
        <v>-1093</v>
      </c>
      <c r="AH45" s="46">
        <f>AE45/AE48</f>
        <v>0</v>
      </c>
    </row>
    <row r="46" spans="1:34" x14ac:dyDescent="0.25">
      <c r="A46" t="s">
        <v>27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/>
      <c r="O46" s="7"/>
      <c r="P46" s="7"/>
      <c r="Q46" s="7"/>
      <c r="R46" s="7"/>
      <c r="S46" s="7"/>
      <c r="T46" s="7">
        <v>0</v>
      </c>
      <c r="U46" s="7"/>
      <c r="V46" s="7"/>
      <c r="W46" s="7"/>
      <c r="X46" s="7"/>
      <c r="Y46" s="7"/>
      <c r="Z46" s="7"/>
      <c r="AA46" s="6">
        <f t="shared" si="10"/>
        <v>0</v>
      </c>
      <c r="AB46" s="17" t="e">
        <f t="shared" si="11"/>
        <v>#DIV/0!</v>
      </c>
      <c r="AC46" s="20">
        <f t="shared" si="12"/>
        <v>0</v>
      </c>
      <c r="AD46" s="6">
        <f t="shared" si="13"/>
        <v>0</v>
      </c>
      <c r="AE46" s="32">
        <f t="shared" si="14"/>
        <v>0</v>
      </c>
      <c r="AF46" s="29" t="e">
        <f t="shared" si="15"/>
        <v>#DIV/0!</v>
      </c>
      <c r="AG46" s="49">
        <f t="shared" si="16"/>
        <v>0</v>
      </c>
      <c r="AH46" s="46">
        <f>AE46/AE48</f>
        <v>0</v>
      </c>
    </row>
    <row r="47" spans="1:34" x14ac:dyDescent="0.25">
      <c r="A47" t="s">
        <v>55</v>
      </c>
      <c r="B47" s="6">
        <v>24</v>
      </c>
      <c r="C47" s="6">
        <v>-20</v>
      </c>
      <c r="D47" s="6">
        <v>9</v>
      </c>
      <c r="E47" s="6"/>
      <c r="F47" s="6"/>
      <c r="G47" s="6"/>
      <c r="H47" s="6"/>
      <c r="I47" s="6"/>
      <c r="J47" s="6"/>
      <c r="K47" s="6"/>
      <c r="L47" s="6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6">
        <f t="shared" si="10"/>
        <v>0</v>
      </c>
      <c r="AB47" s="17" t="e">
        <f t="shared" si="11"/>
        <v>#DIV/0!</v>
      </c>
      <c r="AC47" s="20">
        <f t="shared" si="12"/>
        <v>0</v>
      </c>
      <c r="AD47" s="6">
        <f t="shared" si="13"/>
        <v>13</v>
      </c>
      <c r="AE47" s="32">
        <f t="shared" si="14"/>
        <v>0</v>
      </c>
      <c r="AF47" s="29">
        <f t="shared" si="15"/>
        <v>-1</v>
      </c>
      <c r="AG47" s="49">
        <f t="shared" si="16"/>
        <v>-13</v>
      </c>
      <c r="AH47" s="29">
        <f>AE47/AE48</f>
        <v>0</v>
      </c>
    </row>
    <row r="48" spans="1:34" x14ac:dyDescent="0.25">
      <c r="A48" s="3" t="s">
        <v>33</v>
      </c>
      <c r="B48" s="10">
        <v>6844</v>
      </c>
      <c r="C48" s="10">
        <v>12619</v>
      </c>
      <c r="D48" s="10">
        <v>10142</v>
      </c>
      <c r="E48" s="10">
        <v>10556</v>
      </c>
      <c r="F48" s="10">
        <v>8954</v>
      </c>
      <c r="G48" s="10">
        <v>2935</v>
      </c>
      <c r="H48" s="10">
        <v>4648</v>
      </c>
      <c r="I48" s="10">
        <v>9180</v>
      </c>
      <c r="J48" s="10">
        <v>10273</v>
      </c>
      <c r="K48" s="10">
        <v>10232</v>
      </c>
      <c r="L48" s="10">
        <v>11358</v>
      </c>
      <c r="M48" s="10">
        <v>4512</v>
      </c>
      <c r="N48" s="10">
        <f>SUM(N29:N47)</f>
        <v>12114</v>
      </c>
      <c r="O48" s="10">
        <f t="shared" ref="O48" si="17">SUM(O29:O47)</f>
        <v>10164</v>
      </c>
      <c r="P48" s="10">
        <f t="shared" ref="P48" si="18">SUM(P29:P47)</f>
        <v>9495</v>
      </c>
      <c r="Q48" s="10">
        <f t="shared" ref="Q48" si="19">SUM(Q29:Q47)</f>
        <v>13638</v>
      </c>
      <c r="R48" s="10">
        <f t="shared" ref="R48" si="20">SUM(R29:R47)</f>
        <v>12820</v>
      </c>
      <c r="S48" s="10">
        <f t="shared" ref="S48" si="21">SUM(S29:S47)</f>
        <v>10785</v>
      </c>
      <c r="T48" s="10">
        <f t="shared" ref="T48" si="22">SUM(T29:T47)</f>
        <v>10317</v>
      </c>
      <c r="U48" s="10">
        <f t="shared" ref="U48" si="23">SUM(U29:U47)</f>
        <v>10520</v>
      </c>
      <c r="V48" s="10">
        <f t="shared" ref="V48:Z48" si="24">SUM(V29:V47)</f>
        <v>12223</v>
      </c>
      <c r="W48" s="10">
        <f t="shared" si="24"/>
        <v>12133</v>
      </c>
      <c r="X48" s="10">
        <f t="shared" si="24"/>
        <v>16698</v>
      </c>
      <c r="Y48" s="10">
        <f t="shared" si="24"/>
        <v>9645</v>
      </c>
      <c r="Z48" s="10">
        <f t="shared" si="24"/>
        <v>7235</v>
      </c>
      <c r="AA48" s="6">
        <f t="shared" si="10"/>
        <v>11409</v>
      </c>
      <c r="AB48" s="17">
        <f t="shared" si="11"/>
        <v>-0.15461477780699451</v>
      </c>
      <c r="AC48" s="20">
        <f t="shared" si="12"/>
        <v>-4174</v>
      </c>
      <c r="AD48" s="6">
        <f t="shared" si="13"/>
        <v>97741</v>
      </c>
      <c r="AE48" s="32">
        <f t="shared" si="14"/>
        <v>130907</v>
      </c>
      <c r="AF48" s="29">
        <f t="shared" si="15"/>
        <v>0.33932535987968193</v>
      </c>
      <c r="AG48" s="49">
        <f t="shared" si="16"/>
        <v>33166</v>
      </c>
      <c r="AH48" s="29" t="e">
        <f t="shared" ref="AH48" si="25">AE48/AE59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2378-93C9-46A4-B783-EAE0E64C2658}">
  <dimension ref="A1:Q45"/>
  <sheetViews>
    <sheetView topLeftCell="A22" zoomScale="60" zoomScaleNormal="60" workbookViewId="0">
      <selection activeCell="L61" sqref="L61"/>
    </sheetView>
  </sheetViews>
  <sheetFormatPr defaultRowHeight="15" x14ac:dyDescent="0.25"/>
  <cols>
    <col min="1" max="1" width="29.140625" bestFit="1" customWidth="1"/>
    <col min="2" max="2" width="7.140625" bestFit="1" customWidth="1"/>
    <col min="3" max="3" width="11" bestFit="1" customWidth="1"/>
    <col min="4" max="4" width="10.28515625" bestFit="1" customWidth="1"/>
    <col min="5" max="5" width="9.140625" bestFit="1" customWidth="1"/>
    <col min="6" max="6" width="16.28515625" customWidth="1"/>
    <col min="7" max="7" width="9.140625" bestFit="1" customWidth="1"/>
    <col min="8" max="8" width="9.85546875" bestFit="1" customWidth="1"/>
    <col min="9" max="9" width="11.5703125" bestFit="1" customWidth="1"/>
    <col min="10" max="10" width="11.5703125" customWidth="1"/>
    <col min="11" max="11" width="13.42578125" bestFit="1" customWidth="1"/>
    <col min="12" max="14" width="13.42578125" customWidth="1"/>
    <col min="15" max="15" width="9.85546875" customWidth="1"/>
    <col min="16" max="16" width="10.85546875" bestFit="1" customWidth="1"/>
    <col min="17" max="17" width="11.28515625" bestFit="1" customWidth="1"/>
  </cols>
  <sheetData>
    <row r="1" spans="1:17" x14ac:dyDescent="0.25">
      <c r="A1" s="1" t="s">
        <v>65</v>
      </c>
    </row>
    <row r="2" spans="1:17" x14ac:dyDescent="0.25">
      <c r="A2" s="1" t="s">
        <v>1</v>
      </c>
    </row>
    <row r="3" spans="1:17" x14ac:dyDescent="0.25">
      <c r="A3" s="12" t="s">
        <v>2</v>
      </c>
      <c r="B3" s="3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3">
        <v>8</v>
      </c>
      <c r="J3" s="3">
        <v>9</v>
      </c>
      <c r="K3" s="3">
        <v>10</v>
      </c>
      <c r="L3" s="3">
        <v>11</v>
      </c>
      <c r="M3" s="3"/>
      <c r="N3" s="3"/>
      <c r="O3" s="4" t="s">
        <v>3</v>
      </c>
      <c r="P3" s="4" t="s">
        <v>4</v>
      </c>
      <c r="Q3" s="4" t="s">
        <v>5</v>
      </c>
    </row>
    <row r="4" spans="1:17" x14ac:dyDescent="0.25">
      <c r="A4" s="13" t="s">
        <v>8</v>
      </c>
      <c r="B4" s="6"/>
      <c r="C4" s="6"/>
      <c r="D4" s="6"/>
      <c r="E4" s="6"/>
      <c r="F4" s="6"/>
      <c r="G4" s="6"/>
      <c r="H4" s="6"/>
      <c r="I4" s="6"/>
      <c r="J4" s="6"/>
      <c r="K4" s="6"/>
      <c r="L4" s="6">
        <v>6215.1785714285706</v>
      </c>
      <c r="M4" s="6"/>
      <c r="N4" s="6"/>
      <c r="O4" s="6">
        <f>SUM(G4:L4)/6</f>
        <v>1035.8630952380952</v>
      </c>
      <c r="P4" s="17">
        <f>L4/O4-1</f>
        <v>5</v>
      </c>
      <c r="Q4" s="6">
        <f t="shared" ref="Q4:Q21" si="0">K4-O4</f>
        <v>-1035.8630952380952</v>
      </c>
    </row>
    <row r="5" spans="1:17" x14ac:dyDescent="0.25">
      <c r="A5" s="13" t="s">
        <v>9</v>
      </c>
      <c r="B5" s="6"/>
      <c r="C5" s="6"/>
      <c r="D5" s="6"/>
      <c r="E5" s="6"/>
      <c r="F5" s="6"/>
      <c r="G5" s="6"/>
      <c r="H5" s="6">
        <v>9762.1874999999982</v>
      </c>
      <c r="I5" s="6">
        <v>21693.749999999996</v>
      </c>
      <c r="J5" s="6"/>
      <c r="K5" s="6"/>
      <c r="L5" s="6">
        <v>19524.374999999996</v>
      </c>
      <c r="M5" s="6"/>
      <c r="N5" s="6"/>
      <c r="O5" s="6">
        <f t="shared" ref="O5:O21" si="1">SUM(G5:L5)/6</f>
        <v>8496.7187499999982</v>
      </c>
      <c r="P5" s="17">
        <f t="shared" ref="P5:P20" si="2">L5/O5-1</f>
        <v>1.2978723404255321</v>
      </c>
      <c r="Q5" s="6">
        <f t="shared" si="0"/>
        <v>-8496.7187499999982</v>
      </c>
    </row>
    <row r="6" spans="1:17" x14ac:dyDescent="0.25">
      <c r="A6" s="13" t="s">
        <v>10</v>
      </c>
      <c r="B6" s="6"/>
      <c r="C6" s="6"/>
      <c r="D6" s="6"/>
      <c r="E6" s="6"/>
      <c r="F6" s="6"/>
      <c r="G6" s="6"/>
      <c r="H6" s="6"/>
      <c r="I6" s="6">
        <v>9810.4017857142844</v>
      </c>
      <c r="J6" s="6"/>
      <c r="K6" s="6"/>
      <c r="L6" s="6"/>
      <c r="M6" s="6"/>
      <c r="N6" s="6"/>
      <c r="O6" s="6">
        <f t="shared" si="1"/>
        <v>1635.066964285714</v>
      </c>
      <c r="P6" s="17">
        <f t="shared" si="2"/>
        <v>-1</v>
      </c>
      <c r="Q6" s="6">
        <f t="shared" si="0"/>
        <v>-1635.066964285714</v>
      </c>
    </row>
    <row r="7" spans="1:17" x14ac:dyDescent="0.25">
      <c r="A7" s="1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1"/>
        <v>0</v>
      </c>
      <c r="P7" s="17" t="e">
        <f t="shared" si="2"/>
        <v>#DIV/0!</v>
      </c>
      <c r="Q7" s="6">
        <f t="shared" si="0"/>
        <v>0</v>
      </c>
    </row>
    <row r="8" spans="1:17" x14ac:dyDescent="0.25">
      <c r="A8" s="13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1"/>
        <v>0</v>
      </c>
      <c r="P8" s="17" t="e">
        <f t="shared" si="2"/>
        <v>#DIV/0!</v>
      </c>
      <c r="Q8" s="6">
        <f t="shared" si="0"/>
        <v>0</v>
      </c>
    </row>
    <row r="9" spans="1:17" x14ac:dyDescent="0.25">
      <c r="A9" s="13" t="s">
        <v>13</v>
      </c>
      <c r="B9" s="6"/>
      <c r="C9" s="6"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1"/>
        <v>0</v>
      </c>
      <c r="P9" s="17" t="e">
        <f t="shared" si="2"/>
        <v>#DIV/0!</v>
      </c>
      <c r="Q9" s="6">
        <f t="shared" si="0"/>
        <v>0</v>
      </c>
    </row>
    <row r="10" spans="1:17" x14ac:dyDescent="0.25">
      <c r="A10" s="13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1"/>
        <v>0</v>
      </c>
      <c r="P10" s="17" t="e">
        <f t="shared" si="2"/>
        <v>#DIV/0!</v>
      </c>
      <c r="Q10" s="6">
        <f t="shared" si="0"/>
        <v>0</v>
      </c>
    </row>
    <row r="11" spans="1:17" x14ac:dyDescent="0.25">
      <c r="A11" s="13" t="s">
        <v>15</v>
      </c>
      <c r="B11" s="6"/>
      <c r="C11" s="6">
        <v>150.71428571428532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1"/>
        <v>0</v>
      </c>
      <c r="P11" s="17" t="e">
        <f t="shared" si="2"/>
        <v>#DIV/0!</v>
      </c>
      <c r="Q11" s="6">
        <f t="shared" si="0"/>
        <v>0</v>
      </c>
    </row>
    <row r="12" spans="1:17" x14ac:dyDescent="0.25">
      <c r="A12" s="13" t="s">
        <v>16</v>
      </c>
      <c r="B12" s="6">
        <v>0</v>
      </c>
      <c r="C12" s="6">
        <v>17793.428571428569</v>
      </c>
      <c r="D12" s="6">
        <v>5560.4464285714275</v>
      </c>
      <c r="E12" s="6">
        <v>5560.4464285714275</v>
      </c>
      <c r="F12" s="6">
        <v>7413.9285714285706</v>
      </c>
      <c r="G12" s="6"/>
      <c r="H12" s="6">
        <v>7413.9285714285706</v>
      </c>
      <c r="I12" s="6"/>
      <c r="J12" s="6">
        <v>53009.589285714283</v>
      </c>
      <c r="K12" s="6"/>
      <c r="L12" s="6">
        <v>4448.3571428571422</v>
      </c>
      <c r="M12" s="6"/>
      <c r="N12" s="6"/>
      <c r="O12" s="6">
        <f t="shared" si="1"/>
        <v>10811.979166666666</v>
      </c>
      <c r="P12" s="17">
        <f t="shared" si="2"/>
        <v>-0.58857142857142863</v>
      </c>
      <c r="Q12" s="6">
        <f t="shared" si="0"/>
        <v>-10811.979166666666</v>
      </c>
    </row>
    <row r="13" spans="1:17" x14ac:dyDescent="0.25">
      <c r="A13" s="13" t="s">
        <v>17</v>
      </c>
      <c r="B13" s="6"/>
      <c r="C13" s="6"/>
      <c r="D13" s="6"/>
      <c r="E13" s="6"/>
      <c r="F13" s="6">
        <v>5535.7142857142853</v>
      </c>
      <c r="G13" s="6">
        <v>4982.1428571428569</v>
      </c>
      <c r="H13" s="6"/>
      <c r="I13" s="6"/>
      <c r="J13" s="6"/>
      <c r="K13" s="6"/>
      <c r="L13" s="6"/>
      <c r="M13" s="6"/>
      <c r="N13" s="6"/>
      <c r="O13" s="6">
        <f t="shared" si="1"/>
        <v>830.35714285714278</v>
      </c>
      <c r="P13" s="17">
        <f t="shared" si="2"/>
        <v>-1</v>
      </c>
      <c r="Q13" s="6">
        <f t="shared" si="0"/>
        <v>-830.35714285714278</v>
      </c>
    </row>
    <row r="14" spans="1:17" x14ac:dyDescent="0.25">
      <c r="A14" s="13" t="s">
        <v>18</v>
      </c>
      <c r="B14" s="6"/>
      <c r="C14" s="6"/>
      <c r="D14" s="6"/>
      <c r="E14" s="6"/>
      <c r="F14" s="6"/>
      <c r="G14" s="6"/>
      <c r="H14" s="6"/>
      <c r="I14" s="6"/>
      <c r="J14" s="6">
        <v>15321.428571428571</v>
      </c>
      <c r="K14" s="6">
        <v>9964.2857142857138</v>
      </c>
      <c r="L14" s="6">
        <v>52821.428571428565</v>
      </c>
      <c r="M14" s="6"/>
      <c r="N14" s="6"/>
      <c r="O14" s="6">
        <f t="shared" si="1"/>
        <v>13017.857142857139</v>
      </c>
      <c r="P14" s="17">
        <f t="shared" si="2"/>
        <v>3.0576131687242807</v>
      </c>
      <c r="Q14" s="6">
        <f t="shared" si="0"/>
        <v>-3053.5714285714257</v>
      </c>
    </row>
    <row r="15" spans="1:17" x14ac:dyDescent="0.25">
      <c r="A15" s="13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1"/>
        <v>0</v>
      </c>
      <c r="P15" s="17" t="e">
        <f t="shared" si="2"/>
        <v>#DIV/0!</v>
      </c>
      <c r="Q15" s="6">
        <f t="shared" si="0"/>
        <v>0</v>
      </c>
    </row>
    <row r="16" spans="1:17" x14ac:dyDescent="0.25">
      <c r="A16" s="13" t="s">
        <v>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1"/>
        <v>0</v>
      </c>
      <c r="P16" s="17" t="e">
        <f t="shared" si="2"/>
        <v>#DIV/0!</v>
      </c>
      <c r="Q16" s="6">
        <f t="shared" si="0"/>
        <v>0</v>
      </c>
    </row>
    <row r="17" spans="1:17" x14ac:dyDescent="0.25">
      <c r="A17" s="13" t="s">
        <v>23</v>
      </c>
      <c r="B17" s="6"/>
      <c r="C17" s="6"/>
      <c r="D17" s="6"/>
      <c r="E17" s="6"/>
      <c r="F17" s="6"/>
      <c r="G17" s="7"/>
      <c r="H17" s="7"/>
      <c r="I17" s="7"/>
      <c r="J17" s="7"/>
      <c r="K17" s="7">
        <v>0</v>
      </c>
      <c r="L17" s="7"/>
      <c r="M17" s="7"/>
      <c r="N17" s="7"/>
      <c r="O17" s="6">
        <f t="shared" si="1"/>
        <v>0</v>
      </c>
      <c r="P17" s="17" t="e">
        <f t="shared" si="2"/>
        <v>#DIV/0!</v>
      </c>
      <c r="Q17" s="6">
        <f t="shared" si="0"/>
        <v>0</v>
      </c>
    </row>
    <row r="18" spans="1:17" x14ac:dyDescent="0.25">
      <c r="A18" s="13" t="s">
        <v>24</v>
      </c>
      <c r="B18" s="6"/>
      <c r="C18" s="6">
        <v>62787.892857142848</v>
      </c>
      <c r="D18" s="6">
        <v>83368.232142857145</v>
      </c>
      <c r="E18" s="6"/>
      <c r="F18" s="6"/>
      <c r="G18" s="7"/>
      <c r="H18" s="7"/>
      <c r="I18" s="7"/>
      <c r="J18" s="7"/>
      <c r="K18" s="7"/>
      <c r="L18" s="7"/>
      <c r="M18" s="7"/>
      <c r="N18" s="7"/>
      <c r="O18" s="6">
        <f t="shared" si="1"/>
        <v>0</v>
      </c>
      <c r="P18" s="17" t="e">
        <f t="shared" si="2"/>
        <v>#DIV/0!</v>
      </c>
      <c r="Q18" s="6">
        <f t="shared" si="0"/>
        <v>0</v>
      </c>
    </row>
    <row r="19" spans="1:17" x14ac:dyDescent="0.25">
      <c r="A19" s="13" t="s">
        <v>27</v>
      </c>
      <c r="B19" s="6"/>
      <c r="C19" s="6"/>
      <c r="D19" s="6"/>
      <c r="E19" s="6"/>
      <c r="F19" s="6">
        <v>2264052.3839285714</v>
      </c>
      <c r="G19" s="7"/>
      <c r="H19" s="7"/>
      <c r="I19" s="7"/>
      <c r="J19" s="7"/>
      <c r="K19" s="7">
        <v>1981084.0957142855</v>
      </c>
      <c r="L19" s="7"/>
      <c r="M19" s="7"/>
      <c r="N19" s="7"/>
      <c r="O19" s="6">
        <f t="shared" si="1"/>
        <v>330180.68261904758</v>
      </c>
      <c r="P19" s="17">
        <f t="shared" si="2"/>
        <v>-1</v>
      </c>
      <c r="Q19" s="6">
        <f t="shared" si="0"/>
        <v>1650903.4130952379</v>
      </c>
    </row>
    <row r="20" spans="1:17" x14ac:dyDescent="0.25">
      <c r="A20" s="13" t="s">
        <v>28</v>
      </c>
      <c r="B20" s="6"/>
      <c r="C20" s="6"/>
      <c r="D20" s="6">
        <v>8971.9642857142844</v>
      </c>
      <c r="E20" s="6"/>
      <c r="F20" s="6"/>
      <c r="G20" s="7"/>
      <c r="H20" s="7"/>
      <c r="I20" s="7">
        <v>1794.3928571428569</v>
      </c>
      <c r="J20" s="7"/>
      <c r="K20" s="7"/>
      <c r="L20" s="7">
        <v>4037.383928571428</v>
      </c>
      <c r="M20" s="7"/>
      <c r="N20" s="7"/>
      <c r="O20" s="6">
        <f t="shared" si="1"/>
        <v>971.96279761904736</v>
      </c>
      <c r="P20" s="17">
        <f t="shared" si="2"/>
        <v>3.1538461538461542</v>
      </c>
      <c r="Q20" s="6">
        <f t="shared" si="0"/>
        <v>-971.96279761904736</v>
      </c>
    </row>
    <row r="21" spans="1:17" x14ac:dyDescent="0.25">
      <c r="A21" s="14" t="s">
        <v>33</v>
      </c>
      <c r="B21" s="15">
        <f>SUM(B4:B19)</f>
        <v>0</v>
      </c>
      <c r="C21" s="15">
        <f>SUM(C4:C20)</f>
        <v>80732.03571428571</v>
      </c>
      <c r="D21" s="15">
        <f t="shared" ref="D21:L21" si="3">SUM(D4:D20)</f>
        <v>97900.64285714287</v>
      </c>
      <c r="E21" s="15">
        <f t="shared" si="3"/>
        <v>5560.4464285714275</v>
      </c>
      <c r="F21" s="15">
        <f t="shared" si="3"/>
        <v>2277002.0267857141</v>
      </c>
      <c r="G21" s="15">
        <f t="shared" si="3"/>
        <v>4982.1428571428569</v>
      </c>
      <c r="H21" s="15">
        <f t="shared" si="3"/>
        <v>17176.116071428569</v>
      </c>
      <c r="I21" s="15">
        <f t="shared" si="3"/>
        <v>33298.544642857138</v>
      </c>
      <c r="J21" s="15">
        <f t="shared" si="3"/>
        <v>68331.017857142855</v>
      </c>
      <c r="K21" s="15">
        <f t="shared" si="3"/>
        <v>1991048.3814285712</v>
      </c>
      <c r="L21" s="15">
        <f t="shared" si="3"/>
        <v>87046.72321428571</v>
      </c>
      <c r="M21" s="10"/>
      <c r="N21" s="10"/>
      <c r="O21" s="6">
        <f t="shared" si="1"/>
        <v>366980.48767857143</v>
      </c>
      <c r="P21" s="17">
        <f>L21/O21-1</f>
        <v>-0.76280285699950445</v>
      </c>
      <c r="Q21" s="6">
        <f t="shared" si="0"/>
        <v>1624067.8937499998</v>
      </c>
    </row>
    <row r="24" spans="1:17" x14ac:dyDescent="0.25">
      <c r="A24" s="1" t="s">
        <v>65</v>
      </c>
    </row>
    <row r="25" spans="1:17" x14ac:dyDescent="0.25">
      <c r="A25" s="1" t="s">
        <v>34</v>
      </c>
    </row>
    <row r="26" spans="1:17" x14ac:dyDescent="0.25">
      <c r="A26" s="12" t="s">
        <v>2</v>
      </c>
      <c r="B26" s="3">
        <v>1</v>
      </c>
      <c r="C26" s="12">
        <v>2</v>
      </c>
      <c r="D26" s="12">
        <v>3</v>
      </c>
      <c r="E26" s="12">
        <v>4</v>
      </c>
      <c r="F26" s="12">
        <v>5</v>
      </c>
      <c r="G26" s="12">
        <v>6</v>
      </c>
      <c r="H26" s="12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/>
      <c r="O26" s="4" t="s">
        <v>3</v>
      </c>
      <c r="P26" s="4" t="s">
        <v>4</v>
      </c>
      <c r="Q26" s="4" t="s">
        <v>5</v>
      </c>
    </row>
    <row r="27" spans="1:17" x14ac:dyDescent="0.25">
      <c r="A27" s="13" t="s">
        <v>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14</v>
      </c>
      <c r="M27" s="6"/>
      <c r="N27" s="6"/>
      <c r="O27" s="6">
        <f>SUM(H27:M27)/6</f>
        <v>2.3333333333333335</v>
      </c>
      <c r="P27" s="17">
        <f>M27/O27-1</f>
        <v>-1</v>
      </c>
      <c r="Q27" s="6">
        <f>M27-O27</f>
        <v>-2.3333333333333335</v>
      </c>
    </row>
    <row r="28" spans="1:17" x14ac:dyDescent="0.25">
      <c r="A28" s="13" t="s">
        <v>9</v>
      </c>
      <c r="B28" s="6"/>
      <c r="C28" s="6"/>
      <c r="D28" s="6"/>
      <c r="E28" s="6"/>
      <c r="F28" s="6"/>
      <c r="G28" s="6"/>
      <c r="H28" s="6">
        <v>12</v>
      </c>
      <c r="I28" s="6">
        <v>26</v>
      </c>
      <c r="J28" s="6"/>
      <c r="K28" s="6"/>
      <c r="L28" s="6">
        <v>24</v>
      </c>
      <c r="M28" s="6"/>
      <c r="N28" s="6"/>
      <c r="O28" s="6">
        <f t="shared" ref="O28:O44" si="4">SUM(H28:M28)/6</f>
        <v>10.333333333333334</v>
      </c>
      <c r="P28" s="17">
        <f t="shared" ref="P28:P44" si="5">M28/O28-1</f>
        <v>-1</v>
      </c>
      <c r="Q28" s="6">
        <f t="shared" ref="Q28:Q44" si="6">M28-O28</f>
        <v>-10.333333333333334</v>
      </c>
    </row>
    <row r="29" spans="1:17" x14ac:dyDescent="0.25">
      <c r="A29" s="13" t="s">
        <v>10</v>
      </c>
      <c r="B29" s="6"/>
      <c r="C29" s="6"/>
      <c r="D29" s="6"/>
      <c r="E29" s="6"/>
      <c r="F29" s="6"/>
      <c r="G29" s="6"/>
      <c r="H29" s="6"/>
      <c r="I29" s="6">
        <v>23</v>
      </c>
      <c r="J29" s="6"/>
      <c r="K29" s="6"/>
      <c r="L29" s="6"/>
      <c r="M29" s="6"/>
      <c r="N29" s="6"/>
      <c r="O29" s="6">
        <f t="shared" si="4"/>
        <v>3.8333333333333335</v>
      </c>
      <c r="P29" s="17">
        <f t="shared" si="5"/>
        <v>-1</v>
      </c>
      <c r="Q29" s="6">
        <f t="shared" si="6"/>
        <v>-3.8333333333333335</v>
      </c>
    </row>
    <row r="30" spans="1:17" x14ac:dyDescent="0.25">
      <c r="A30" s="13" t="s">
        <v>11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 t="shared" si="4"/>
        <v>0</v>
      </c>
      <c r="P30" s="17" t="e">
        <f t="shared" si="5"/>
        <v>#DIV/0!</v>
      </c>
      <c r="Q30" s="6">
        <f t="shared" si="6"/>
        <v>0</v>
      </c>
    </row>
    <row r="31" spans="1:17" x14ac:dyDescent="0.25">
      <c r="A31" s="13" t="s">
        <v>12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si="4"/>
        <v>0</v>
      </c>
      <c r="P31" s="17" t="e">
        <f t="shared" si="5"/>
        <v>#DIV/0!</v>
      </c>
      <c r="Q31" s="6">
        <f t="shared" si="6"/>
        <v>0</v>
      </c>
    </row>
    <row r="32" spans="1:17" x14ac:dyDescent="0.25">
      <c r="A32" s="13" t="s">
        <v>13</v>
      </c>
      <c r="B32" s="6"/>
      <c r="C32" s="6">
        <v>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f t="shared" si="4"/>
        <v>0</v>
      </c>
      <c r="P32" s="17" t="e">
        <f t="shared" si="5"/>
        <v>#DIV/0!</v>
      </c>
      <c r="Q32" s="6">
        <f t="shared" si="6"/>
        <v>0</v>
      </c>
    </row>
    <row r="33" spans="1:17" x14ac:dyDescent="0.25">
      <c r="A33" s="13" t="s">
        <v>14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4"/>
        <v>0</v>
      </c>
      <c r="P33" s="17" t="e">
        <f t="shared" si="5"/>
        <v>#DIV/0!</v>
      </c>
      <c r="Q33" s="6">
        <f t="shared" si="6"/>
        <v>0</v>
      </c>
    </row>
    <row r="34" spans="1:17" x14ac:dyDescent="0.25">
      <c r="A34" s="13" t="s">
        <v>15</v>
      </c>
      <c r="B34" s="6"/>
      <c r="C34" s="6">
        <v>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f t="shared" si="4"/>
        <v>0</v>
      </c>
      <c r="P34" s="17" t="e">
        <f t="shared" si="5"/>
        <v>#DIV/0!</v>
      </c>
      <c r="Q34" s="6">
        <f t="shared" si="6"/>
        <v>0</v>
      </c>
    </row>
    <row r="35" spans="1:17" x14ac:dyDescent="0.25">
      <c r="A35" s="13" t="s">
        <v>16</v>
      </c>
      <c r="B35" s="6">
        <v>0</v>
      </c>
      <c r="C35" s="6">
        <v>64</v>
      </c>
      <c r="D35" s="6">
        <v>20</v>
      </c>
      <c r="E35" s="6">
        <v>20</v>
      </c>
      <c r="F35" s="6">
        <v>24</v>
      </c>
      <c r="G35" s="6"/>
      <c r="H35" s="6">
        <v>24</v>
      </c>
      <c r="I35" s="6"/>
      <c r="J35" s="6">
        <v>188</v>
      </c>
      <c r="K35" s="6"/>
      <c r="L35" s="6">
        <v>16</v>
      </c>
      <c r="M35" s="6"/>
      <c r="N35" s="6"/>
      <c r="O35" s="6">
        <f t="shared" si="4"/>
        <v>38</v>
      </c>
      <c r="P35" s="17">
        <f t="shared" si="5"/>
        <v>-1</v>
      </c>
      <c r="Q35" s="6">
        <f t="shared" si="6"/>
        <v>-38</v>
      </c>
    </row>
    <row r="36" spans="1:17" x14ac:dyDescent="0.25">
      <c r="A36" s="13" t="s">
        <v>17</v>
      </c>
      <c r="B36" s="6"/>
      <c r="C36" s="6"/>
      <c r="D36" s="6"/>
      <c r="E36" s="6"/>
      <c r="F36" s="6">
        <v>20</v>
      </c>
      <c r="G36" s="6">
        <v>18</v>
      </c>
      <c r="H36" s="6"/>
      <c r="I36" s="6"/>
      <c r="J36" s="6"/>
      <c r="K36" s="6"/>
      <c r="L36" s="6"/>
      <c r="M36" s="6"/>
      <c r="N36" s="6"/>
      <c r="O36" s="6">
        <f t="shared" si="4"/>
        <v>0</v>
      </c>
      <c r="P36" s="17" t="e">
        <f t="shared" si="5"/>
        <v>#DIV/0!</v>
      </c>
      <c r="Q36" s="6">
        <f t="shared" si="6"/>
        <v>0</v>
      </c>
    </row>
    <row r="37" spans="1:17" x14ac:dyDescent="0.25">
      <c r="A37" s="13" t="s">
        <v>18</v>
      </c>
      <c r="B37" s="6"/>
      <c r="C37" s="6"/>
      <c r="D37" s="6"/>
      <c r="E37" s="6"/>
      <c r="F37" s="6"/>
      <c r="G37" s="6"/>
      <c r="H37" s="6"/>
      <c r="I37" s="6"/>
      <c r="J37" s="6">
        <v>15</v>
      </c>
      <c r="K37" s="6">
        <v>9</v>
      </c>
      <c r="L37" s="6">
        <v>39</v>
      </c>
      <c r="M37" s="6"/>
      <c r="N37" s="6"/>
      <c r="O37" s="6">
        <f t="shared" si="4"/>
        <v>10.5</v>
      </c>
      <c r="P37" s="17">
        <f t="shared" si="5"/>
        <v>-1</v>
      </c>
      <c r="Q37" s="6">
        <f t="shared" si="6"/>
        <v>-10.5</v>
      </c>
    </row>
    <row r="38" spans="1:17" x14ac:dyDescent="0.25">
      <c r="A38" s="13" t="s">
        <v>19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f t="shared" si="4"/>
        <v>0</v>
      </c>
      <c r="P38" s="17" t="e">
        <f t="shared" si="5"/>
        <v>#DIV/0!</v>
      </c>
      <c r="Q38" s="6">
        <f t="shared" si="6"/>
        <v>0</v>
      </c>
    </row>
    <row r="39" spans="1:17" x14ac:dyDescent="0.25">
      <c r="A39" s="13" t="s">
        <v>20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f t="shared" si="4"/>
        <v>0</v>
      </c>
      <c r="P39" s="17" t="e">
        <f t="shared" si="5"/>
        <v>#DIV/0!</v>
      </c>
      <c r="Q39" s="6">
        <f t="shared" si="6"/>
        <v>0</v>
      </c>
    </row>
    <row r="40" spans="1:17" x14ac:dyDescent="0.25">
      <c r="A40" s="13" t="s">
        <v>23</v>
      </c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6">
        <f t="shared" si="4"/>
        <v>0</v>
      </c>
      <c r="P40" s="17" t="e">
        <f t="shared" si="5"/>
        <v>#DIV/0!</v>
      </c>
      <c r="Q40" s="6">
        <f t="shared" si="6"/>
        <v>0</v>
      </c>
    </row>
    <row r="41" spans="1:17" x14ac:dyDescent="0.25">
      <c r="A41" s="13" t="s">
        <v>24</v>
      </c>
      <c r="B41" s="6"/>
      <c r="C41" s="6">
        <v>515</v>
      </c>
      <c r="D41" s="6">
        <v>755</v>
      </c>
      <c r="E41" s="6"/>
      <c r="F41" s="6"/>
      <c r="G41" s="7"/>
      <c r="H41" s="7"/>
      <c r="I41" s="7"/>
      <c r="J41" s="7"/>
      <c r="K41" s="7"/>
      <c r="L41" s="7"/>
      <c r="M41" s="7"/>
      <c r="N41" s="7"/>
      <c r="O41" s="6">
        <f t="shared" si="4"/>
        <v>0</v>
      </c>
      <c r="P41" s="17" t="e">
        <f t="shared" si="5"/>
        <v>#DIV/0!</v>
      </c>
      <c r="Q41" s="6">
        <f t="shared" si="6"/>
        <v>0</v>
      </c>
    </row>
    <row r="42" spans="1:17" x14ac:dyDescent="0.25">
      <c r="A42" s="13" t="s">
        <v>27</v>
      </c>
      <c r="B42" s="6"/>
      <c r="C42" s="6"/>
      <c r="D42" s="6"/>
      <c r="E42" s="6"/>
      <c r="F42" s="6">
        <v>10789</v>
      </c>
      <c r="G42" s="7"/>
      <c r="H42" s="7"/>
      <c r="I42" s="7"/>
      <c r="J42" s="7"/>
      <c r="K42" s="7">
        <v>9874</v>
      </c>
      <c r="L42" s="7"/>
      <c r="M42" s="7"/>
      <c r="N42" s="7"/>
      <c r="O42" s="6">
        <f t="shared" si="4"/>
        <v>1645.6666666666667</v>
      </c>
      <c r="P42" s="17">
        <f t="shared" si="5"/>
        <v>-1</v>
      </c>
      <c r="Q42" s="6">
        <f t="shared" si="6"/>
        <v>-1645.6666666666667</v>
      </c>
    </row>
    <row r="43" spans="1:17" x14ac:dyDescent="0.25">
      <c r="A43" s="13" t="s">
        <v>28</v>
      </c>
      <c r="B43" s="6"/>
      <c r="C43" s="6"/>
      <c r="D43" s="6">
        <v>25</v>
      </c>
      <c r="E43" s="6"/>
      <c r="F43" s="6"/>
      <c r="G43" s="7"/>
      <c r="H43" s="7"/>
      <c r="I43" s="7">
        <v>5</v>
      </c>
      <c r="J43" s="7"/>
      <c r="K43" s="7"/>
      <c r="L43" s="7">
        <v>12</v>
      </c>
      <c r="M43" s="7"/>
      <c r="N43" s="7"/>
      <c r="O43" s="6">
        <f t="shared" si="4"/>
        <v>2.8333333333333335</v>
      </c>
      <c r="P43" s="17">
        <f t="shared" si="5"/>
        <v>-1</v>
      </c>
      <c r="Q43" s="6">
        <f t="shared" si="6"/>
        <v>-2.8333333333333335</v>
      </c>
    </row>
    <row r="44" spans="1:17" x14ac:dyDescent="0.25">
      <c r="A44" s="14" t="s">
        <v>33</v>
      </c>
      <c r="B44" s="15">
        <f>SUM(B27:B42)</f>
        <v>0</v>
      </c>
      <c r="C44" s="15">
        <f t="shared" ref="C44" si="7">SUM(C27:C42)</f>
        <v>579</v>
      </c>
      <c r="D44" s="15">
        <f t="shared" ref="D44" si="8">SUM(D27:D42)</f>
        <v>775</v>
      </c>
      <c r="E44" s="15">
        <f t="shared" ref="E44" si="9">SUM(E27:E42)</f>
        <v>20</v>
      </c>
      <c r="F44" s="15">
        <f t="shared" ref="F44" si="10">SUM(F27:F42)</f>
        <v>10833</v>
      </c>
      <c r="G44" s="15">
        <f t="shared" ref="G44" si="11">SUM(G27:G42)</f>
        <v>18</v>
      </c>
      <c r="H44" s="15">
        <f t="shared" ref="H44" si="12">SUM(H27:H42)</f>
        <v>36</v>
      </c>
      <c r="I44" s="15">
        <f t="shared" ref="I44" si="13">SUM(I27:I42)</f>
        <v>49</v>
      </c>
      <c r="J44" s="15">
        <f t="shared" ref="J44:K44" si="14">SUM(J27:J42)</f>
        <v>203</v>
      </c>
      <c r="K44" s="15">
        <f t="shared" si="14"/>
        <v>9883</v>
      </c>
      <c r="L44" s="15">
        <f t="shared" ref="L44" si="15">SUM(L27:L43)</f>
        <v>105</v>
      </c>
      <c r="M44" s="10"/>
      <c r="N44" s="10"/>
      <c r="O44" s="6">
        <f t="shared" si="4"/>
        <v>1712.6666666666667</v>
      </c>
      <c r="P44" s="17">
        <f t="shared" si="5"/>
        <v>-1</v>
      </c>
      <c r="Q44" s="6">
        <f t="shared" si="6"/>
        <v>-1712.6666666666667</v>
      </c>
    </row>
    <row r="45" spans="1:17" x14ac:dyDescent="0.25">
      <c r="O45" s="6">
        <f>SUM(H45:M45)/6</f>
        <v>0</v>
      </c>
      <c r="P45" s="17" t="e">
        <f>M45/O45-1</f>
        <v>#DIV/0!</v>
      </c>
      <c r="Q45" s="6">
        <f>M45-O45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35EB0D971C2543B0E900FD5B4A85C8" ma:contentTypeVersion="14" ma:contentTypeDescription="Create a new document." ma:contentTypeScope="" ma:versionID="d554d145c91a32a843a089bf2b4aaefb">
  <xsd:schema xmlns:xsd="http://www.w3.org/2001/XMLSchema" xmlns:xs="http://www.w3.org/2001/XMLSchema" xmlns:p="http://schemas.microsoft.com/office/2006/metadata/properties" xmlns:ns3="f802d8a1-1288-4632-b5b5-c55e249e8027" xmlns:ns4="2e7fd164-9b2b-4810-bf41-16576340d7b3" targetNamespace="http://schemas.microsoft.com/office/2006/metadata/properties" ma:root="true" ma:fieldsID="be736628236c1a35b7b9be929f7a75c7" ns3:_="" ns4:_="">
    <xsd:import namespace="f802d8a1-1288-4632-b5b5-c55e249e8027"/>
    <xsd:import namespace="2e7fd164-9b2b-4810-bf41-16576340d7b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2d8a1-1288-4632-b5b5-c55e249e80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fd164-9b2b-4810-bf41-16576340d7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7fd164-9b2b-4810-bf41-16576340d7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11C7D-F74D-4BD3-AED1-D3F7762C9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02d8a1-1288-4632-b5b5-c55e249e8027"/>
    <ds:schemaRef ds:uri="2e7fd164-9b2b-4810-bf41-16576340d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1073C-3598-42F7-812B-7146CA664C45}">
  <ds:schemaRefs>
    <ds:schemaRef ds:uri="http://schemas.microsoft.com/office/2006/metadata/properties"/>
    <ds:schemaRef ds:uri="http://schemas.microsoft.com/office/infopath/2007/PartnerControls"/>
    <ds:schemaRef ds:uri="2e7fd164-9b2b-4810-bf41-16576340d7b3"/>
  </ds:schemaRefs>
</ds:datastoreItem>
</file>

<file path=customXml/itemProps3.xml><?xml version="1.0" encoding="utf-8"?>
<ds:datastoreItem xmlns:ds="http://schemas.openxmlformats.org/officeDocument/2006/customXml" ds:itemID="{E6A94A50-8C5F-4617-91B7-BB76D2BA1F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MDC</vt:lpstr>
      <vt:lpstr>WATSON</vt:lpstr>
      <vt:lpstr>RPI</vt:lpstr>
      <vt:lpstr>SSD</vt:lpstr>
      <vt:lpstr>ZPC -Other Trade</vt:lpstr>
      <vt:lpstr>PMI</vt:lpstr>
      <vt:lpstr>INHOUSE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Palma</dc:creator>
  <cp:keywords/>
  <dc:description/>
  <cp:lastModifiedBy>Evita Romero</cp:lastModifiedBy>
  <cp:revision/>
  <dcterms:created xsi:type="dcterms:W3CDTF">2025-05-01T10:28:55Z</dcterms:created>
  <dcterms:modified xsi:type="dcterms:W3CDTF">2026-02-01T01:04:04Z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0x0101001F35EB0D971C2543B0E900FD5B4A85C8</vt:lpwstr>
  </property>
</Properties>
</file>